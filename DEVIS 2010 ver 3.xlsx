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defaultThemeVersion="166925"/>
  <mc:AlternateContent xmlns:mc="http://schemas.openxmlformats.org/markup-compatibility/2006">
    <mc:Choice Requires="x15">
      <x15ac:absPath xmlns:x15ac="http://schemas.microsoft.com/office/spreadsheetml/2010/11/ac" url="D:\Documents\# Projet BDU VDR\"/>
    </mc:Choice>
  </mc:AlternateContent>
  <xr:revisionPtr revIDLastSave="0" documentId="8_{2BA26E3F-1E61-48BB-8B5A-2EFA266DE1E2}" xr6:coauthVersionLast="47" xr6:coauthVersionMax="47" xr10:uidLastSave="{00000000-0000-0000-0000-000000000000}"/>
  <bookViews>
    <workbookView xWindow="2985" yWindow="2985" windowWidth="21600" windowHeight="11835" activeTab="1"/>
  </bookViews>
  <sheets>
    <sheet name="Article long" sheetId="3" r:id="rId1"/>
    <sheet name="DEVIS 2010" sheetId="1" r:id="rId2"/>
  </sheets>
  <definedNames>
    <definedName name="_xlnm._FilterDatabase" localSheetId="1" hidden="1">'DEVIS 2010'!$A$1:$I$542</definedName>
    <definedName name="_xlnm.Print_Titles" localSheetId="1">'DEVIS 2010'!$1:$1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06" i="1" l="1"/>
  <c r="E304" i="1"/>
  <c r="I6" i="1"/>
  <c r="I542" i="1"/>
  <c r="I540" i="1"/>
  <c r="I539" i="1"/>
  <c r="I538" i="1"/>
  <c r="I537" i="1"/>
  <c r="I535" i="1"/>
  <c r="I534" i="1"/>
  <c r="I532" i="1"/>
  <c r="I531" i="1"/>
  <c r="I529" i="1"/>
  <c r="I527" i="1"/>
  <c r="I526" i="1"/>
  <c r="I525" i="1"/>
  <c r="I524" i="1"/>
  <c r="I523" i="1"/>
  <c r="I522" i="1"/>
  <c r="I521" i="1"/>
  <c r="I520" i="1"/>
  <c r="I518" i="1"/>
  <c r="I517" i="1"/>
  <c r="I516" i="1"/>
  <c r="I515" i="1"/>
  <c r="I514" i="1"/>
  <c r="I513" i="1"/>
  <c r="I512" i="1"/>
  <c r="I511" i="1"/>
  <c r="I508" i="1"/>
  <c r="I507" i="1"/>
  <c r="I506" i="1"/>
  <c r="I505" i="1"/>
  <c r="I503" i="1"/>
  <c r="I502" i="1"/>
  <c r="I500" i="1"/>
  <c r="I498" i="1"/>
  <c r="I497" i="1"/>
  <c r="I495" i="1"/>
  <c r="I493" i="1"/>
  <c r="I490" i="1"/>
  <c r="I487" i="1"/>
  <c r="I485" i="1"/>
  <c r="I484" i="1"/>
  <c r="I482" i="1"/>
  <c r="I481" i="1"/>
  <c r="I480" i="1"/>
  <c r="I477" i="1"/>
  <c r="I476" i="1"/>
  <c r="I474" i="1"/>
  <c r="I473" i="1"/>
  <c r="I472" i="1"/>
  <c r="I471" i="1"/>
  <c r="I470" i="1"/>
  <c r="E468" i="1"/>
  <c r="I468" i="1" s="1"/>
  <c r="E467" i="1"/>
  <c r="I467" i="1" s="1"/>
  <c r="E466" i="1"/>
  <c r="I466" i="1" s="1"/>
  <c r="E465" i="1"/>
  <c r="I465" i="1" s="1"/>
  <c r="E463" i="1"/>
  <c r="I463" i="1"/>
  <c r="E462" i="1"/>
  <c r="I462" i="1" s="1"/>
  <c r="E461" i="1"/>
  <c r="I461" i="1"/>
  <c r="E458" i="1"/>
  <c r="I458" i="1"/>
  <c r="E457" i="1"/>
  <c r="I457" i="1"/>
  <c r="E455" i="1"/>
  <c r="I455" i="1"/>
  <c r="E453" i="1"/>
  <c r="I453" i="1"/>
  <c r="E452" i="1"/>
  <c r="I452" i="1"/>
  <c r="E450" i="1"/>
  <c r="I450" i="1"/>
  <c r="E448" i="1"/>
  <c r="I448" i="1"/>
  <c r="E447" i="1"/>
  <c r="I447" i="1"/>
  <c r="E445" i="1"/>
  <c r="I445" i="1"/>
  <c r="E444" i="1"/>
  <c r="I444" i="1"/>
  <c r="E442" i="1"/>
  <c r="I442" i="1"/>
  <c r="E441" i="1"/>
  <c r="I441" i="1"/>
  <c r="E440" i="1"/>
  <c r="I440" i="1"/>
  <c r="E439" i="1"/>
  <c r="I439" i="1"/>
  <c r="I438" i="1"/>
  <c r="E437" i="1"/>
  <c r="G437" i="1" s="1"/>
  <c r="H437" i="1" s="1"/>
  <c r="E436" i="1"/>
  <c r="I436" i="1"/>
  <c r="I434" i="1"/>
  <c r="E433" i="1"/>
  <c r="I433" i="1"/>
  <c r="E432" i="1"/>
  <c r="I432" i="1"/>
  <c r="E430" i="1"/>
  <c r="I430" i="1"/>
  <c r="E429" i="1"/>
  <c r="I429" i="1"/>
  <c r="E428" i="1"/>
  <c r="I428" i="1"/>
  <c r="I427" i="1"/>
  <c r="E426" i="1"/>
  <c r="I426" i="1" s="1"/>
  <c r="E425" i="1"/>
  <c r="I425" i="1"/>
  <c r="I424" i="1"/>
  <c r="E423" i="1"/>
  <c r="I423" i="1"/>
  <c r="E422" i="1"/>
  <c r="I422" i="1"/>
  <c r="E421" i="1"/>
  <c r="I421" i="1"/>
  <c r="E420" i="1"/>
  <c r="I420" i="1"/>
  <c r="E419" i="1"/>
  <c r="I419" i="1"/>
  <c r="E418" i="1"/>
  <c r="I418" i="1"/>
  <c r="I416" i="1"/>
  <c r="I415" i="1"/>
  <c r="I414" i="1"/>
  <c r="I411" i="1"/>
  <c r="I410" i="1"/>
  <c r="I407" i="1"/>
  <c r="I406" i="1"/>
  <c r="I405" i="1"/>
  <c r="I403" i="1"/>
  <c r="I402" i="1"/>
  <c r="I401" i="1"/>
  <c r="I399" i="1"/>
  <c r="I398" i="1"/>
  <c r="I396" i="1"/>
  <c r="I395" i="1"/>
  <c r="I393" i="1"/>
  <c r="I392" i="1"/>
  <c r="I391" i="1"/>
  <c r="I390" i="1"/>
  <c r="I389" i="1"/>
  <c r="I385" i="1"/>
  <c r="I382" i="1"/>
  <c r="I380" i="1"/>
  <c r="I379" i="1"/>
  <c r="I375" i="1"/>
  <c r="I374" i="1"/>
  <c r="I373" i="1"/>
  <c r="I372" i="1"/>
  <c r="I368" i="1"/>
  <c r="I367" i="1"/>
  <c r="I366" i="1"/>
  <c r="I365" i="1"/>
  <c r="I364" i="1"/>
  <c r="I363" i="1"/>
  <c r="I362" i="1"/>
  <c r="I361" i="1"/>
  <c r="I360" i="1"/>
  <c r="I359" i="1"/>
  <c r="I358" i="1"/>
  <c r="I356" i="1"/>
  <c r="I353" i="1"/>
  <c r="I352" i="1"/>
  <c r="I350" i="1"/>
  <c r="I348" i="1"/>
  <c r="I347" i="1"/>
  <c r="I346" i="1"/>
  <c r="I345" i="1"/>
  <c r="I343" i="1"/>
  <c r="I341" i="1"/>
  <c r="I340" i="1"/>
  <c r="I339" i="1"/>
  <c r="I338" i="1"/>
  <c r="I336" i="1"/>
  <c r="I335" i="1"/>
  <c r="I334" i="1"/>
  <c r="I332" i="1"/>
  <c r="I331" i="1"/>
  <c r="I330" i="1"/>
  <c r="I329" i="1"/>
  <c r="I328" i="1"/>
  <c r="I327" i="1"/>
  <c r="I324" i="1"/>
  <c r="I323" i="1"/>
  <c r="I322" i="1"/>
  <c r="I321" i="1"/>
  <c r="I320" i="1"/>
  <c r="I318" i="1"/>
  <c r="I317" i="1"/>
  <c r="I316" i="1"/>
  <c r="I315" i="1"/>
  <c r="I311" i="1"/>
  <c r="I310" i="1"/>
  <c r="I307" i="1"/>
  <c r="I306" i="1"/>
  <c r="I304" i="1"/>
  <c r="I303" i="1"/>
  <c r="I302" i="1"/>
  <c r="I301" i="1"/>
  <c r="I299" i="1"/>
  <c r="I297" i="1"/>
  <c r="I296" i="1"/>
  <c r="I295" i="1"/>
  <c r="I294" i="1"/>
  <c r="I293" i="1"/>
  <c r="I290" i="1"/>
  <c r="I289" i="1"/>
  <c r="I288" i="1"/>
  <c r="I285" i="1"/>
  <c r="I283" i="1"/>
  <c r="I282" i="1"/>
  <c r="I280" i="1"/>
  <c r="I279" i="1"/>
  <c r="I278" i="1"/>
  <c r="I276" i="1"/>
  <c r="I266" i="1"/>
  <c r="I265" i="1"/>
  <c r="I264" i="1"/>
  <c r="I262" i="1"/>
  <c r="I261" i="1"/>
  <c r="I260" i="1"/>
  <c r="I259" i="1"/>
  <c r="I258" i="1"/>
  <c r="I255" i="1"/>
  <c r="I254" i="1"/>
  <c r="I251" i="1"/>
  <c r="I250" i="1"/>
  <c r="I248" i="1"/>
  <c r="I246" i="1"/>
  <c r="I245" i="1"/>
  <c r="I244" i="1"/>
  <c r="I242" i="1"/>
  <c r="I240" i="1"/>
  <c r="I239" i="1"/>
  <c r="I238" i="1"/>
  <c r="I237" i="1"/>
  <c r="I236" i="1"/>
  <c r="I235" i="1"/>
  <c r="I234" i="1"/>
  <c r="I232" i="1"/>
  <c r="I231" i="1"/>
  <c r="I230" i="1"/>
  <c r="I229" i="1"/>
  <c r="I225" i="1"/>
  <c r="I224" i="1"/>
  <c r="I223" i="1"/>
  <c r="I220" i="1"/>
  <c r="I217" i="1"/>
  <c r="I216" i="1"/>
  <c r="I214" i="1"/>
  <c r="I211" i="1"/>
  <c r="I209" i="1"/>
  <c r="I208" i="1"/>
  <c r="I207" i="1"/>
  <c r="I206" i="1"/>
  <c r="I204" i="1"/>
  <c r="I203" i="1"/>
  <c r="I202" i="1"/>
  <c r="I200" i="1"/>
  <c r="I199" i="1"/>
  <c r="I196" i="1"/>
  <c r="I194" i="1"/>
  <c r="I192" i="1"/>
  <c r="I190" i="1"/>
  <c r="I183" i="1"/>
  <c r="I181" i="1"/>
  <c r="I179" i="1"/>
  <c r="I178" i="1"/>
  <c r="I177" i="1"/>
  <c r="I174" i="1"/>
  <c r="I172" i="1"/>
  <c r="I170" i="1"/>
  <c r="I168" i="1"/>
  <c r="I165" i="1"/>
  <c r="I162" i="1"/>
  <c r="I161" i="1"/>
  <c r="I159" i="1"/>
  <c r="I157" i="1"/>
  <c r="I156" i="1"/>
  <c r="I154" i="1"/>
  <c r="I153" i="1"/>
  <c r="I150" i="1"/>
  <c r="I148" i="1"/>
  <c r="I146" i="1"/>
  <c r="I145" i="1"/>
  <c r="I144" i="1"/>
  <c r="I143" i="1"/>
  <c r="I142" i="1"/>
  <c r="I141" i="1"/>
  <c r="I139" i="1"/>
  <c r="I138" i="1"/>
  <c r="I137" i="1"/>
  <c r="I135" i="1"/>
  <c r="I133" i="1"/>
  <c r="I128" i="1"/>
  <c r="I127" i="1"/>
  <c r="I125" i="1"/>
  <c r="I123" i="1"/>
  <c r="I120" i="1"/>
  <c r="I118" i="1"/>
  <c r="I116" i="1"/>
  <c r="I113" i="1"/>
  <c r="I110" i="1"/>
  <c r="I107" i="1"/>
  <c r="I105" i="1"/>
  <c r="I103" i="1"/>
  <c r="I102" i="1"/>
  <c r="I98" i="1"/>
  <c r="I97" i="1"/>
  <c r="I96" i="1"/>
  <c r="I95" i="1"/>
  <c r="I93" i="1"/>
  <c r="I91" i="1"/>
  <c r="I89" i="1"/>
  <c r="I86" i="1"/>
  <c r="I84" i="1"/>
  <c r="I81" i="1"/>
  <c r="I80" i="1"/>
  <c r="I78" i="1"/>
  <c r="I76" i="1"/>
  <c r="I75" i="1"/>
  <c r="I71" i="1"/>
  <c r="I70" i="1"/>
  <c r="I68" i="1"/>
  <c r="I66" i="1"/>
  <c r="I65" i="1"/>
  <c r="I64" i="1"/>
  <c r="I60" i="1"/>
  <c r="I58" i="1"/>
  <c r="I57" i="1"/>
  <c r="I55" i="1"/>
  <c r="I54" i="1"/>
  <c r="I51" i="1"/>
  <c r="I50" i="1"/>
  <c r="I47" i="1"/>
  <c r="I45" i="1"/>
  <c r="I43" i="1"/>
  <c r="I42" i="1"/>
  <c r="I39" i="1"/>
  <c r="I38" i="1"/>
  <c r="I35" i="1"/>
  <c r="I34" i="1"/>
  <c r="I32" i="1"/>
  <c r="I31" i="1"/>
  <c r="I29" i="1"/>
  <c r="I26" i="1"/>
  <c r="I24" i="1"/>
  <c r="I22" i="1"/>
  <c r="I20" i="1"/>
  <c r="I18" i="1"/>
  <c r="I16" i="1"/>
  <c r="I14" i="1"/>
  <c r="I10" i="1"/>
  <c r="I8" i="1"/>
  <c r="I4" i="1"/>
  <c r="G4" i="1"/>
  <c r="H4" i="1"/>
  <c r="G542" i="1"/>
  <c r="H542" i="1" s="1"/>
  <c r="G540" i="1"/>
  <c r="H540" i="1"/>
  <c r="G539" i="1"/>
  <c r="H539" i="1" s="1"/>
  <c r="G538" i="1"/>
  <c r="H538" i="1" s="1"/>
  <c r="G537" i="1"/>
  <c r="H537" i="1"/>
  <c r="G535" i="1"/>
  <c r="H535" i="1"/>
  <c r="G534" i="1"/>
  <c r="H534" i="1"/>
  <c r="G532" i="1"/>
  <c r="H532" i="1"/>
  <c r="G531" i="1"/>
  <c r="H531" i="1"/>
  <c r="G529" i="1"/>
  <c r="H529" i="1"/>
  <c r="G527" i="1"/>
  <c r="H527" i="1" s="1"/>
  <c r="G526" i="1"/>
  <c r="H526" i="1"/>
  <c r="G525" i="1"/>
  <c r="H525" i="1"/>
  <c r="G524" i="1"/>
  <c r="H524" i="1"/>
  <c r="G523" i="1"/>
  <c r="H523" i="1"/>
  <c r="G522" i="1"/>
  <c r="H522" i="1"/>
  <c r="G521" i="1"/>
  <c r="H521" i="1"/>
  <c r="G520" i="1"/>
  <c r="H520" i="1"/>
  <c r="G518" i="1"/>
  <c r="H518" i="1" s="1"/>
  <c r="G517" i="1"/>
  <c r="H517" i="1"/>
  <c r="G516" i="1"/>
  <c r="H516" i="1"/>
  <c r="G515" i="1"/>
  <c r="H515" i="1"/>
  <c r="G514" i="1"/>
  <c r="H514" i="1"/>
  <c r="G513" i="1"/>
  <c r="H513" i="1"/>
  <c r="G512" i="1"/>
  <c r="H512" i="1"/>
  <c r="G511" i="1"/>
  <c r="H511" i="1"/>
  <c r="G508" i="1"/>
  <c r="H508" i="1" s="1"/>
  <c r="G507" i="1"/>
  <c r="H507" i="1"/>
  <c r="G506" i="1"/>
  <c r="H506" i="1"/>
  <c r="G505" i="1"/>
  <c r="H505" i="1"/>
  <c r="G503" i="1"/>
  <c r="H503" i="1"/>
  <c r="G502" i="1"/>
  <c r="H502" i="1"/>
  <c r="G500" i="1"/>
  <c r="H500" i="1"/>
  <c r="G498" i="1"/>
  <c r="H498" i="1"/>
  <c r="G497" i="1"/>
  <c r="H497" i="1"/>
  <c r="G495" i="1"/>
  <c r="H495" i="1"/>
  <c r="G493" i="1"/>
  <c r="H493" i="1"/>
  <c r="G490" i="1"/>
  <c r="H490" i="1"/>
  <c r="G487" i="1"/>
  <c r="H487" i="1"/>
  <c r="G485" i="1"/>
  <c r="H485" i="1"/>
  <c r="G484" i="1"/>
  <c r="H484" i="1"/>
  <c r="G482" i="1"/>
  <c r="H482" i="1"/>
  <c r="G481" i="1"/>
  <c r="H481" i="1"/>
  <c r="G480" i="1"/>
  <c r="H480" i="1"/>
  <c r="G477" i="1"/>
  <c r="H477" i="1"/>
  <c r="G476" i="1"/>
  <c r="H476" i="1"/>
  <c r="G474" i="1"/>
  <c r="H474" i="1"/>
  <c r="G473" i="1"/>
  <c r="H473" i="1"/>
  <c r="G472" i="1"/>
  <c r="H472" i="1"/>
  <c r="G471" i="1"/>
  <c r="H471" i="1"/>
  <c r="G470" i="1"/>
  <c r="H470" i="1"/>
  <c r="G468" i="1"/>
  <c r="H468" i="1"/>
  <c r="G467" i="1"/>
  <c r="H467" i="1"/>
  <c r="G466" i="1"/>
  <c r="H466" i="1"/>
  <c r="G465" i="1"/>
  <c r="H465" i="1"/>
  <c r="G463" i="1"/>
  <c r="H463" i="1"/>
  <c r="G462" i="1"/>
  <c r="H462" i="1"/>
  <c r="G461" i="1"/>
  <c r="H461" i="1"/>
  <c r="G458" i="1"/>
  <c r="H458" i="1"/>
  <c r="G457" i="1"/>
  <c r="H457" i="1"/>
  <c r="G455" i="1"/>
  <c r="H455" i="1"/>
  <c r="G453" i="1"/>
  <c r="H453" i="1"/>
  <c r="G452" i="1"/>
  <c r="H452" i="1"/>
  <c r="G450" i="1"/>
  <c r="H450" i="1"/>
  <c r="G448" i="1"/>
  <c r="H448" i="1"/>
  <c r="G447" i="1"/>
  <c r="H447" i="1"/>
  <c r="G445" i="1"/>
  <c r="H445" i="1"/>
  <c r="G444" i="1"/>
  <c r="H444" i="1"/>
  <c r="G442" i="1"/>
  <c r="H442" i="1"/>
  <c r="G441" i="1"/>
  <c r="H441" i="1"/>
  <c r="G440" i="1"/>
  <c r="H440" i="1"/>
  <c r="G439" i="1"/>
  <c r="H439" i="1"/>
  <c r="G438" i="1"/>
  <c r="H438" i="1"/>
  <c r="G436" i="1"/>
  <c r="H436" i="1"/>
  <c r="G434" i="1"/>
  <c r="H434" i="1"/>
  <c r="G433" i="1"/>
  <c r="H433" i="1"/>
  <c r="G432" i="1"/>
  <c r="H432" i="1"/>
  <c r="G430" i="1"/>
  <c r="H430" i="1"/>
  <c r="G429" i="1"/>
  <c r="H429" i="1"/>
  <c r="G428" i="1"/>
  <c r="H428" i="1"/>
  <c r="G427" i="1"/>
  <c r="H427" i="1"/>
  <c r="G425" i="1"/>
  <c r="H425" i="1"/>
  <c r="G424" i="1"/>
  <c r="H424" i="1"/>
  <c r="G423" i="1"/>
  <c r="H423" i="1"/>
  <c r="G422" i="1"/>
  <c r="H422" i="1"/>
  <c r="G421" i="1"/>
  <c r="H421" i="1"/>
  <c r="G420" i="1"/>
  <c r="H420" i="1"/>
  <c r="G419" i="1"/>
  <c r="H419" i="1"/>
  <c r="G418" i="1"/>
  <c r="H418" i="1"/>
  <c r="G416" i="1"/>
  <c r="H416" i="1"/>
  <c r="G415" i="1"/>
  <c r="H415" i="1"/>
  <c r="G414" i="1"/>
  <c r="H414" i="1"/>
  <c r="G411" i="1"/>
  <c r="H411" i="1"/>
  <c r="G410" i="1"/>
  <c r="H410" i="1"/>
  <c r="G407" i="1"/>
  <c r="H407" i="1"/>
  <c r="G406" i="1"/>
  <c r="H406" i="1"/>
  <c r="G405" i="1"/>
  <c r="H405" i="1"/>
  <c r="G403" i="1"/>
  <c r="H403" i="1"/>
  <c r="G402" i="1"/>
  <c r="H402" i="1"/>
  <c r="G401" i="1"/>
  <c r="H401" i="1"/>
  <c r="G399" i="1"/>
  <c r="H399" i="1"/>
  <c r="G398" i="1"/>
  <c r="H398" i="1"/>
  <c r="G396" i="1"/>
  <c r="H396" i="1"/>
  <c r="G395" i="1"/>
  <c r="H395" i="1"/>
  <c r="G393" i="1"/>
  <c r="H393" i="1"/>
  <c r="G392" i="1"/>
  <c r="H392" i="1"/>
  <c r="G391" i="1"/>
  <c r="H391" i="1"/>
  <c r="G390" i="1"/>
  <c r="H390" i="1"/>
  <c r="G389" i="1"/>
  <c r="H389" i="1"/>
  <c r="G385" i="1"/>
  <c r="H385" i="1"/>
  <c r="G382" i="1"/>
  <c r="H382" i="1"/>
  <c r="G380" i="1"/>
  <c r="H380" i="1"/>
  <c r="G379" i="1"/>
  <c r="H379" i="1"/>
  <c r="G375" i="1"/>
  <c r="H375" i="1"/>
  <c r="G374" i="1"/>
  <c r="H374" i="1"/>
  <c r="G373" i="1"/>
  <c r="H373" i="1"/>
  <c r="G372" i="1"/>
  <c r="H372" i="1"/>
  <c r="G368" i="1"/>
  <c r="H368" i="1"/>
  <c r="G367" i="1"/>
  <c r="H367" i="1"/>
  <c r="G366" i="1"/>
  <c r="H366" i="1"/>
  <c r="G365" i="1"/>
  <c r="H365" i="1"/>
  <c r="H364" i="1"/>
  <c r="G363" i="1"/>
  <c r="H363" i="1" s="1"/>
  <c r="G362" i="1"/>
  <c r="H362" i="1" s="1"/>
  <c r="G361" i="1"/>
  <c r="H361" i="1" s="1"/>
  <c r="G360" i="1"/>
  <c r="H360" i="1" s="1"/>
  <c r="G359" i="1"/>
  <c r="H359" i="1" s="1"/>
  <c r="G358" i="1"/>
  <c r="H358" i="1" s="1"/>
  <c r="G356" i="1"/>
  <c r="H356" i="1" s="1"/>
  <c r="G353" i="1"/>
  <c r="H353" i="1" s="1"/>
  <c r="G352" i="1"/>
  <c r="H352" i="1" s="1"/>
  <c r="G350" i="1"/>
  <c r="H350" i="1" s="1"/>
  <c r="G348" i="1"/>
  <c r="H348" i="1" s="1"/>
  <c r="G347" i="1"/>
  <c r="H347" i="1" s="1"/>
  <c r="G346" i="1"/>
  <c r="H346" i="1" s="1"/>
  <c r="G345" i="1"/>
  <c r="H345" i="1" s="1"/>
  <c r="G343" i="1"/>
  <c r="H343" i="1" s="1"/>
  <c r="G341" i="1"/>
  <c r="H341" i="1"/>
  <c r="G340" i="1"/>
  <c r="H340" i="1" s="1"/>
  <c r="G339" i="1"/>
  <c r="H339" i="1" s="1"/>
  <c r="G338" i="1"/>
  <c r="H338" i="1" s="1"/>
  <c r="G336" i="1"/>
  <c r="H336" i="1" s="1"/>
  <c r="G335" i="1"/>
  <c r="H335" i="1" s="1"/>
  <c r="G334" i="1"/>
  <c r="H334" i="1" s="1"/>
  <c r="G332" i="1"/>
  <c r="H332" i="1" s="1"/>
  <c r="G331" i="1"/>
  <c r="H331" i="1"/>
  <c r="G330" i="1"/>
  <c r="H330" i="1" s="1"/>
  <c r="G329" i="1"/>
  <c r="H329" i="1" s="1"/>
  <c r="G328" i="1"/>
  <c r="H328" i="1" s="1"/>
  <c r="G327" i="1"/>
  <c r="H327" i="1" s="1"/>
  <c r="G324" i="1"/>
  <c r="H324" i="1" s="1"/>
  <c r="G323" i="1"/>
  <c r="H323" i="1" s="1"/>
  <c r="G322" i="1"/>
  <c r="H322" i="1" s="1"/>
  <c r="G321" i="1"/>
  <c r="H321" i="1"/>
  <c r="G320" i="1"/>
  <c r="H320" i="1" s="1"/>
  <c r="G318" i="1"/>
  <c r="H318" i="1" s="1"/>
  <c r="G317" i="1"/>
  <c r="H317" i="1" s="1"/>
  <c r="G316" i="1"/>
  <c r="H316" i="1" s="1"/>
  <c r="G315" i="1"/>
  <c r="H315" i="1" s="1"/>
  <c r="G311" i="1"/>
  <c r="H311" i="1" s="1"/>
  <c r="G310" i="1"/>
  <c r="H310" i="1" s="1"/>
  <c r="G307" i="1"/>
  <c r="H307" i="1"/>
  <c r="G306" i="1"/>
  <c r="H306" i="1" s="1"/>
  <c r="G304" i="1"/>
  <c r="H304" i="1" s="1"/>
  <c r="G303" i="1"/>
  <c r="H303" i="1" s="1"/>
  <c r="G302" i="1"/>
  <c r="H302" i="1" s="1"/>
  <c r="G301" i="1"/>
  <c r="H301" i="1" s="1"/>
  <c r="G299" i="1"/>
  <c r="H299" i="1" s="1"/>
  <c r="G297" i="1"/>
  <c r="H297" i="1" s="1"/>
  <c r="G296" i="1"/>
  <c r="H296" i="1"/>
  <c r="G295" i="1"/>
  <c r="H295" i="1" s="1"/>
  <c r="G294" i="1"/>
  <c r="H294" i="1" s="1"/>
  <c r="G293" i="1"/>
  <c r="H293" i="1" s="1"/>
  <c r="G290" i="1"/>
  <c r="H290" i="1" s="1"/>
  <c r="G289" i="1"/>
  <c r="H289" i="1" s="1"/>
  <c r="G288" i="1"/>
  <c r="H288" i="1" s="1"/>
  <c r="G285" i="1"/>
  <c r="H285" i="1" s="1"/>
  <c r="G283" i="1"/>
  <c r="H283" i="1"/>
  <c r="G282" i="1"/>
  <c r="H282" i="1" s="1"/>
  <c r="G280" i="1"/>
  <c r="H280" i="1" s="1"/>
  <c r="G279" i="1"/>
  <c r="H279" i="1" s="1"/>
  <c r="G278" i="1"/>
  <c r="H278" i="1" s="1"/>
  <c r="G276" i="1"/>
  <c r="H276" i="1" s="1"/>
  <c r="G266" i="1"/>
  <c r="H266" i="1" s="1"/>
  <c r="G265" i="1"/>
  <c r="H265" i="1" s="1"/>
  <c r="H264" i="1"/>
  <c r="G262" i="1"/>
  <c r="H262" i="1"/>
  <c r="G261" i="1"/>
  <c r="H261" i="1"/>
  <c r="G260" i="1"/>
  <c r="H260" i="1"/>
  <c r="G259" i="1"/>
  <c r="H259" i="1"/>
  <c r="G258" i="1"/>
  <c r="H258" i="1"/>
  <c r="G255" i="1"/>
  <c r="H255" i="1"/>
  <c r="G254" i="1"/>
  <c r="H254" i="1"/>
  <c r="G251" i="1"/>
  <c r="H251" i="1"/>
  <c r="G250" i="1"/>
  <c r="H250" i="1"/>
  <c r="G248" i="1"/>
  <c r="H248" i="1"/>
  <c r="G246" i="1"/>
  <c r="H246" i="1"/>
  <c r="G245" i="1"/>
  <c r="H245" i="1"/>
  <c r="G244" i="1"/>
  <c r="H244" i="1"/>
  <c r="G242" i="1"/>
  <c r="H242" i="1"/>
  <c r="G240" i="1"/>
  <c r="H240" i="1"/>
  <c r="G239" i="1"/>
  <c r="H239" i="1"/>
  <c r="G238" i="1"/>
  <c r="H238" i="1"/>
  <c r="G237" i="1"/>
  <c r="H237" i="1"/>
  <c r="G236" i="1"/>
  <c r="H236" i="1"/>
  <c r="G235" i="1"/>
  <c r="H235" i="1"/>
  <c r="G234" i="1"/>
  <c r="H234" i="1"/>
  <c r="G232" i="1"/>
  <c r="H232" i="1"/>
  <c r="G231" i="1"/>
  <c r="H231" i="1"/>
  <c r="G230" i="1"/>
  <c r="H230" i="1"/>
  <c r="G229" i="1"/>
  <c r="H229" i="1"/>
  <c r="G225" i="1"/>
  <c r="H225" i="1"/>
  <c r="G224" i="1"/>
  <c r="H224" i="1"/>
  <c r="G223" i="1"/>
  <c r="H223" i="1"/>
  <c r="G220" i="1"/>
  <c r="H220" i="1"/>
  <c r="G217" i="1"/>
  <c r="H217" i="1"/>
  <c r="G216" i="1"/>
  <c r="H216" i="1"/>
  <c r="G214" i="1"/>
  <c r="H214" i="1"/>
  <c r="G211" i="1"/>
  <c r="H211" i="1"/>
  <c r="G209" i="1"/>
  <c r="H209" i="1"/>
  <c r="G208" i="1"/>
  <c r="H208" i="1"/>
  <c r="G207" i="1"/>
  <c r="H207" i="1"/>
  <c r="G206" i="1"/>
  <c r="H206" i="1"/>
  <c r="G204" i="1"/>
  <c r="H204" i="1"/>
  <c r="G203" i="1"/>
  <c r="H203" i="1"/>
  <c r="G202" i="1"/>
  <c r="H202" i="1"/>
  <c r="G200" i="1"/>
  <c r="H200" i="1"/>
  <c r="G199" i="1"/>
  <c r="H199" i="1"/>
  <c r="G196" i="1"/>
  <c r="H196" i="1"/>
  <c r="G194" i="1"/>
  <c r="H194" i="1"/>
  <c r="G192" i="1"/>
  <c r="H192" i="1"/>
  <c r="G190" i="1"/>
  <c r="H190" i="1"/>
  <c r="G183" i="1"/>
  <c r="H183" i="1"/>
  <c r="G181" i="1"/>
  <c r="H181" i="1"/>
  <c r="G179" i="1"/>
  <c r="H179" i="1"/>
  <c r="G178" i="1"/>
  <c r="H178" i="1"/>
  <c r="G177" i="1"/>
  <c r="H177" i="1"/>
  <c r="G174" i="1"/>
  <c r="H174" i="1"/>
  <c r="G172" i="1"/>
  <c r="H172" i="1"/>
  <c r="G170" i="1"/>
  <c r="H170" i="1"/>
  <c r="G168" i="1"/>
  <c r="H168" i="1"/>
  <c r="G165" i="1"/>
  <c r="H165" i="1"/>
  <c r="G162" i="1"/>
  <c r="H162" i="1"/>
  <c r="G161" i="1"/>
  <c r="H161" i="1"/>
  <c r="G159" i="1"/>
  <c r="H159" i="1"/>
  <c r="G157" i="1"/>
  <c r="H157" i="1"/>
  <c r="G156" i="1"/>
  <c r="H156" i="1"/>
  <c r="G154" i="1"/>
  <c r="H154" i="1"/>
  <c r="G153" i="1"/>
  <c r="H153" i="1"/>
  <c r="G150" i="1"/>
  <c r="H150" i="1"/>
  <c r="G148" i="1"/>
  <c r="H148" i="1"/>
  <c r="G146" i="1"/>
  <c r="H146" i="1"/>
  <c r="G145" i="1"/>
  <c r="H145" i="1"/>
  <c r="G144" i="1"/>
  <c r="H144" i="1"/>
  <c r="G143" i="1"/>
  <c r="H143" i="1"/>
  <c r="G142" i="1"/>
  <c r="H142" i="1"/>
  <c r="G141" i="1"/>
  <c r="H141" i="1"/>
  <c r="G139" i="1"/>
  <c r="H139" i="1"/>
  <c r="G138" i="1"/>
  <c r="H138" i="1"/>
  <c r="G137" i="1"/>
  <c r="H137" i="1"/>
  <c r="G135" i="1"/>
  <c r="H135" i="1"/>
  <c r="G133" i="1"/>
  <c r="H133" i="1"/>
  <c r="G128" i="1"/>
  <c r="H128" i="1"/>
  <c r="G127" i="1"/>
  <c r="H127" i="1"/>
  <c r="G125" i="1"/>
  <c r="H125" i="1"/>
  <c r="G123" i="1"/>
  <c r="H123" i="1"/>
  <c r="G120" i="1"/>
  <c r="H120" i="1"/>
  <c r="G118" i="1"/>
  <c r="H118" i="1"/>
  <c r="G116" i="1"/>
  <c r="H116" i="1"/>
  <c r="G113" i="1"/>
  <c r="H113" i="1"/>
  <c r="G110" i="1"/>
  <c r="H110" i="1"/>
  <c r="G107" i="1"/>
  <c r="H107" i="1"/>
  <c r="G105" i="1"/>
  <c r="H105" i="1"/>
  <c r="G103" i="1"/>
  <c r="H103" i="1"/>
  <c r="G102" i="1"/>
  <c r="H102" i="1"/>
  <c r="G98" i="1"/>
  <c r="H98" i="1"/>
  <c r="G97" i="1"/>
  <c r="H97" i="1"/>
  <c r="G96" i="1"/>
  <c r="H96" i="1"/>
  <c r="G95" i="1"/>
  <c r="H95" i="1"/>
  <c r="G93" i="1"/>
  <c r="H93" i="1"/>
  <c r="G91" i="1"/>
  <c r="H91" i="1"/>
  <c r="G89" i="1"/>
  <c r="H89" i="1"/>
  <c r="G86" i="1"/>
  <c r="H86" i="1"/>
  <c r="G84" i="1"/>
  <c r="H84" i="1"/>
  <c r="G81" i="1"/>
  <c r="H81" i="1"/>
  <c r="G80" i="1"/>
  <c r="H80" i="1"/>
  <c r="G78" i="1"/>
  <c r="H78" i="1"/>
  <c r="G76" i="1"/>
  <c r="H76" i="1"/>
  <c r="G75" i="1"/>
  <c r="H75" i="1"/>
  <c r="G71" i="1"/>
  <c r="H71" i="1"/>
  <c r="G70" i="1"/>
  <c r="H70" i="1"/>
  <c r="G68" i="1"/>
  <c r="H68" i="1"/>
  <c r="G66" i="1"/>
  <c r="H66" i="1"/>
  <c r="G65" i="1"/>
  <c r="H65" i="1"/>
  <c r="G64" i="1"/>
  <c r="H64" i="1"/>
  <c r="G60" i="1"/>
  <c r="H60" i="1"/>
  <c r="G58" i="1"/>
  <c r="H58" i="1"/>
  <c r="G57" i="1"/>
  <c r="H57" i="1"/>
  <c r="G55" i="1"/>
  <c r="H55" i="1"/>
  <c r="G54" i="1"/>
  <c r="H54" i="1"/>
  <c r="G51" i="1"/>
  <c r="H51" i="1"/>
  <c r="G50" i="1"/>
  <c r="H50" i="1"/>
  <c r="G47" i="1"/>
  <c r="H47" i="1"/>
  <c r="G45" i="1"/>
  <c r="H45" i="1"/>
  <c r="G43" i="1"/>
  <c r="H43" i="1"/>
  <c r="G42" i="1"/>
  <c r="H42" i="1"/>
  <c r="G39" i="1"/>
  <c r="H39" i="1"/>
  <c r="G38" i="1"/>
  <c r="H38" i="1"/>
  <c r="G35" i="1"/>
  <c r="H35" i="1"/>
  <c r="G34" i="1"/>
  <c r="H34" i="1"/>
  <c r="G32" i="1"/>
  <c r="H32" i="1"/>
  <c r="G31" i="1"/>
  <c r="H31" i="1"/>
  <c r="G29" i="1"/>
  <c r="H29" i="1"/>
  <c r="G26" i="1"/>
  <c r="H26" i="1"/>
  <c r="G24" i="1"/>
  <c r="H24" i="1"/>
  <c r="G22" i="1"/>
  <c r="H22" i="1"/>
  <c r="G20" i="1"/>
  <c r="H20" i="1"/>
  <c r="G18" i="1"/>
  <c r="H18" i="1"/>
  <c r="G16" i="1"/>
  <c r="H16" i="1"/>
  <c r="G14" i="1"/>
  <c r="H14" i="1"/>
  <c r="G10" i="1"/>
  <c r="H10" i="1"/>
  <c r="G8" i="1"/>
  <c r="H8" i="1"/>
  <c r="G6" i="1"/>
  <c r="H6" i="1"/>
  <c r="E454" i="1"/>
  <c r="E451" i="1"/>
  <c r="E449" i="1"/>
  <c r="G72" i="1"/>
  <c r="G454" i="1"/>
  <c r="G451" i="1"/>
  <c r="G449" i="1"/>
  <c r="G446" i="1"/>
  <c r="G435" i="1"/>
  <c r="G431" i="1"/>
  <c r="G413" i="1"/>
  <c r="G412" i="1"/>
  <c r="G409" i="1"/>
  <c r="G408" i="1"/>
  <c r="G404" i="1"/>
  <c r="G400" i="1"/>
  <c r="G397" i="1"/>
  <c r="G394" i="1"/>
  <c r="G36" i="1"/>
  <c r="G308" i="1"/>
  <c r="G292" i="1"/>
  <c r="G291" i="1"/>
  <c r="G252" i="1"/>
  <c r="G221" i="1"/>
  <c r="G218" i="1"/>
  <c r="G112" i="1"/>
  <c r="G357" i="1"/>
  <c r="G349" i="1"/>
  <c r="G342" i="1"/>
  <c r="G312" i="1"/>
  <c r="G300" i="1"/>
  <c r="G298" i="1"/>
  <c r="G270" i="1"/>
  <c r="G271" i="1"/>
  <c r="G272" i="1"/>
  <c r="G273" i="1"/>
  <c r="G274" i="1"/>
  <c r="G269" i="1"/>
  <c r="G222" i="1"/>
  <c r="G185" i="1"/>
  <c r="G167" i="1"/>
  <c r="G166" i="1"/>
  <c r="G175" i="1"/>
  <c r="G173" i="1"/>
  <c r="G171" i="1"/>
  <c r="G169" i="1"/>
  <c r="G182" i="1"/>
  <c r="G184" i="1"/>
  <c r="I92" i="1"/>
  <c r="I90" i="1"/>
  <c r="I88" i="1"/>
  <c r="I87" i="1"/>
  <c r="I85" i="1"/>
  <c r="I83" i="1"/>
  <c r="I82" i="1"/>
  <c r="I79" i="1"/>
  <c r="I77" i="1"/>
  <c r="I74" i="1"/>
  <c r="I73" i="1"/>
  <c r="I69" i="1"/>
  <c r="I67" i="1"/>
  <c r="I63" i="1"/>
  <c r="I62" i="1"/>
  <c r="I61" i="1"/>
  <c r="I5" i="1"/>
  <c r="I7" i="1"/>
  <c r="I9" i="1"/>
  <c r="G426" i="1" l="1"/>
  <c r="H426" i="1" s="1"/>
  <c r="I437" i="1"/>
</calcChain>
</file>

<file path=xl/comments1.xml><?xml version="1.0" encoding="utf-8"?>
<comments xmlns="http://schemas.openxmlformats.org/spreadsheetml/2006/main">
  <authors>
    <author>Ville de Rennes</author>
  </authors>
  <commentList>
    <comment ref="B414" authorId="0" shapeId="0">
      <text>
        <r>
          <rPr>
            <b/>
            <sz val="8"/>
            <color indexed="81"/>
            <rFont val="Tahoma"/>
          </rPr>
          <t>Ville de Rennes:</t>
        </r>
        <r>
          <rPr>
            <sz val="8"/>
            <color indexed="81"/>
            <rFont val="Tahoma"/>
          </rPr>
          <t xml:space="preserve">
pinus</t>
        </r>
      </text>
    </comment>
    <comment ref="B415" authorId="0" shapeId="0">
      <text>
        <r>
          <rPr>
            <b/>
            <sz val="8"/>
            <color indexed="81"/>
            <rFont val="Tahoma"/>
          </rPr>
          <t>Ville de Rennes:</t>
        </r>
        <r>
          <rPr>
            <sz val="8"/>
            <color indexed="81"/>
            <rFont val="Tahoma"/>
          </rPr>
          <t xml:space="preserve">
pinus</t>
        </r>
      </text>
    </comment>
    <comment ref="B419" authorId="0" shapeId="0">
      <text>
        <r>
          <rPr>
            <b/>
            <sz val="8"/>
            <color indexed="81"/>
            <rFont val="Tahoma"/>
          </rPr>
          <t>Ville de Rennes:</t>
        </r>
        <r>
          <rPr>
            <sz val="8"/>
            <color indexed="81"/>
            <rFont val="Tahoma"/>
          </rPr>
          <t xml:space="preserve">
bouleau charme</t>
        </r>
      </text>
    </comment>
    <comment ref="B421" authorId="0" shapeId="0">
      <text>
        <r>
          <rPr>
            <b/>
            <sz val="8"/>
            <color indexed="81"/>
            <rFont val="Tahoma"/>
          </rPr>
          <t>Ville de Rennes:</t>
        </r>
        <r>
          <rPr>
            <sz val="8"/>
            <color indexed="81"/>
            <rFont val="Tahoma"/>
          </rPr>
          <t xml:space="preserve">
liquidambar</t>
        </r>
      </text>
    </comment>
    <comment ref="B422" authorId="0" shapeId="0">
      <text>
        <r>
          <rPr>
            <b/>
            <sz val="8"/>
            <color indexed="81"/>
            <rFont val="Tahoma"/>
          </rPr>
          <t>Ville de Rennes:</t>
        </r>
        <r>
          <rPr>
            <sz val="8"/>
            <color indexed="81"/>
            <rFont val="Tahoma"/>
          </rPr>
          <t xml:space="preserve">
liquidambar</t>
        </r>
      </text>
    </comment>
    <comment ref="B423" authorId="0" shapeId="0">
      <text>
        <r>
          <rPr>
            <b/>
            <sz val="8"/>
            <color indexed="81"/>
            <rFont val="Tahoma"/>
          </rPr>
          <t>Ville de Rennes:</t>
        </r>
        <r>
          <rPr>
            <sz val="8"/>
            <color indexed="81"/>
            <rFont val="Tahoma"/>
          </rPr>
          <t xml:space="preserve">
prunus</t>
        </r>
      </text>
    </comment>
    <comment ref="B425" authorId="0" shapeId="0">
      <text>
        <r>
          <rPr>
            <b/>
            <sz val="8"/>
            <color indexed="81"/>
            <rFont val="Tahoma"/>
          </rPr>
          <t>Ville de Rennes:</t>
        </r>
        <r>
          <rPr>
            <sz val="8"/>
            <color indexed="81"/>
            <rFont val="Tahoma"/>
          </rPr>
          <t xml:space="preserve">
prunus</t>
        </r>
      </text>
    </comment>
    <comment ref="B426" authorId="0" shapeId="0">
      <text>
        <r>
          <rPr>
            <b/>
            <sz val="8"/>
            <color indexed="81"/>
            <rFont val="Tahoma"/>
          </rPr>
          <t>Ville de Rennes:</t>
        </r>
        <r>
          <rPr>
            <sz val="8"/>
            <color indexed="81"/>
            <rFont val="Tahoma"/>
          </rPr>
          <t xml:space="preserve">
platane</t>
        </r>
      </text>
    </comment>
    <comment ref="B430" authorId="0" shapeId="0">
      <text>
        <r>
          <rPr>
            <b/>
            <sz val="8"/>
            <color indexed="81"/>
            <rFont val="Tahoma"/>
          </rPr>
          <t>Ville de Rennes:</t>
        </r>
        <r>
          <rPr>
            <sz val="8"/>
            <color indexed="81"/>
            <rFont val="Tahoma"/>
          </rPr>
          <t xml:space="preserve">
chamaerops humilis</t>
        </r>
      </text>
    </comment>
    <comment ref="B433" authorId="0" shapeId="0">
      <text>
        <r>
          <rPr>
            <b/>
            <sz val="8"/>
            <color indexed="81"/>
            <rFont val="Tahoma"/>
          </rPr>
          <t>Ville de Rennes:</t>
        </r>
        <r>
          <rPr>
            <sz val="8"/>
            <color indexed="81"/>
            <rFont val="Tahoma"/>
          </rPr>
          <t xml:space="preserve">
malus</t>
        </r>
      </text>
    </comment>
    <comment ref="B437" authorId="0" shapeId="0">
      <text>
        <r>
          <rPr>
            <b/>
            <sz val="8"/>
            <color indexed="81"/>
            <rFont val="Tahoma"/>
          </rPr>
          <t>Ville de Rennes:</t>
        </r>
        <r>
          <rPr>
            <sz val="8"/>
            <color indexed="81"/>
            <rFont val="Tahoma"/>
          </rPr>
          <t xml:space="preserve">
myrthe, abelia</t>
        </r>
      </text>
    </comment>
    <comment ref="B438" authorId="0" shapeId="0">
      <text>
        <r>
          <rPr>
            <b/>
            <sz val="8"/>
            <color indexed="81"/>
            <rFont val="Tahoma"/>
          </rPr>
          <t>Ville de Rennes:</t>
        </r>
        <r>
          <rPr>
            <sz val="8"/>
            <color indexed="81"/>
            <rFont val="Tahoma"/>
          </rPr>
          <t xml:space="preserve">
choisya</t>
        </r>
      </text>
    </comment>
    <comment ref="B439" authorId="0" shapeId="0">
      <text>
        <r>
          <rPr>
            <b/>
            <sz val="8"/>
            <color indexed="81"/>
            <rFont val="Tahoma"/>
          </rPr>
          <t>Ville de Rennes:</t>
        </r>
        <r>
          <rPr>
            <sz val="8"/>
            <color indexed="81"/>
            <rFont val="Tahoma"/>
          </rPr>
          <t xml:space="preserve">
hedera hibernica</t>
        </r>
      </text>
    </comment>
    <comment ref="B440" authorId="0" shapeId="0">
      <text>
        <r>
          <rPr>
            <b/>
            <sz val="8"/>
            <color indexed="81"/>
            <rFont val="Tahoma"/>
          </rPr>
          <t>Ville de Rennes:</t>
        </r>
        <r>
          <rPr>
            <sz val="8"/>
            <color indexed="81"/>
            <rFont val="Tahoma"/>
          </rPr>
          <t xml:space="preserve">
prunus Mount Vernon</t>
        </r>
      </text>
    </comment>
    <comment ref="B441" authorId="0" shapeId="0">
      <text>
        <r>
          <rPr>
            <b/>
            <sz val="8"/>
            <color indexed="81"/>
            <rFont val="Tahoma"/>
          </rPr>
          <t>Ville de Rennes:</t>
        </r>
        <r>
          <rPr>
            <sz val="8"/>
            <color indexed="81"/>
            <rFont val="Tahoma"/>
          </rPr>
          <t xml:space="preserve">
clématite</t>
        </r>
      </text>
    </comment>
    <comment ref="B444" authorId="0" shapeId="0">
      <text>
        <r>
          <rPr>
            <b/>
            <sz val="8"/>
            <color indexed="81"/>
            <rFont val="Tahoma"/>
          </rPr>
          <t>Ville de Rennes:</t>
        </r>
        <r>
          <rPr>
            <sz val="8"/>
            <color indexed="81"/>
            <rFont val="Tahoma"/>
          </rPr>
          <t xml:space="preserve">
rubus</t>
        </r>
      </text>
    </comment>
    <comment ref="B445" authorId="0" shapeId="0">
      <text>
        <r>
          <rPr>
            <b/>
            <sz val="8"/>
            <color indexed="81"/>
            <rFont val="Tahoma"/>
          </rPr>
          <t>Ville de Rennes:</t>
        </r>
        <r>
          <rPr>
            <sz val="8"/>
            <color indexed="81"/>
            <rFont val="Tahoma"/>
          </rPr>
          <t xml:space="preserve">
coryllus </t>
        </r>
      </text>
    </comment>
    <comment ref="B447" authorId="0" shapeId="0">
      <text>
        <r>
          <rPr>
            <b/>
            <sz val="8"/>
            <color indexed="81"/>
            <rFont val="Tahoma"/>
          </rPr>
          <t>Ville de Rennes:</t>
        </r>
        <r>
          <rPr>
            <sz val="8"/>
            <color indexed="81"/>
            <rFont val="Tahoma"/>
          </rPr>
          <t xml:space="preserve">
erica carnea</t>
        </r>
      </text>
    </comment>
    <comment ref="B448" authorId="0" shapeId="0">
      <text>
        <r>
          <rPr>
            <b/>
            <sz val="8"/>
            <color indexed="81"/>
            <rFont val="Tahoma"/>
          </rPr>
          <t>Ville de Rennes:</t>
        </r>
        <r>
          <rPr>
            <sz val="8"/>
            <color indexed="81"/>
            <rFont val="Tahoma"/>
          </rPr>
          <t xml:space="preserve">
arborescens annabelle</t>
        </r>
      </text>
    </comment>
    <comment ref="B449" authorId="0" shapeId="0">
      <text>
        <r>
          <rPr>
            <b/>
            <sz val="8"/>
            <color indexed="81"/>
            <rFont val="Tahoma"/>
          </rPr>
          <t>Ville de Rennes:</t>
        </r>
        <r>
          <rPr>
            <sz val="8"/>
            <color indexed="81"/>
            <rFont val="Tahoma"/>
          </rPr>
          <t xml:space="preserve">
annabelle</t>
        </r>
      </text>
    </comment>
    <comment ref="B450" authorId="0" shapeId="0">
      <text>
        <r>
          <rPr>
            <b/>
            <sz val="8"/>
            <color indexed="81"/>
            <rFont val="Tahoma"/>
          </rPr>
          <t>Ville de Rennes:</t>
        </r>
        <r>
          <rPr>
            <sz val="8"/>
            <color indexed="81"/>
            <rFont val="Tahoma"/>
          </rPr>
          <t xml:space="preserve">
japonica</t>
        </r>
      </text>
    </comment>
    <comment ref="B458" authorId="0" shapeId="0">
      <text>
        <r>
          <rPr>
            <b/>
            <sz val="8"/>
            <color indexed="81"/>
            <rFont val="Tahoma"/>
          </rPr>
          <t>Ville de Rennes:</t>
        </r>
        <r>
          <rPr>
            <sz val="8"/>
            <color indexed="81"/>
            <rFont val="Tahoma"/>
          </rPr>
          <t xml:space="preserve">
sarcococca humilis</t>
        </r>
      </text>
    </comment>
    <comment ref="B465" authorId="0" shapeId="0">
      <text>
        <r>
          <rPr>
            <b/>
            <sz val="8"/>
            <color indexed="81"/>
            <rFont val="Tahoma"/>
          </rPr>
          <t>Ville de Rennes:</t>
        </r>
        <r>
          <rPr>
            <sz val="8"/>
            <color indexed="81"/>
            <rFont val="Tahoma"/>
          </rPr>
          <t xml:space="preserve">
disticus</t>
        </r>
      </text>
    </comment>
    <comment ref="B466" authorId="0" shapeId="0">
      <text>
        <r>
          <rPr>
            <b/>
            <sz val="8"/>
            <color indexed="81"/>
            <rFont val="Tahoma"/>
          </rPr>
          <t>Ville de Rennes:</t>
        </r>
        <r>
          <rPr>
            <sz val="8"/>
            <color indexed="81"/>
            <rFont val="Tahoma"/>
          </rPr>
          <t xml:space="preserve">
sasa fortunei</t>
        </r>
      </text>
    </comment>
    <comment ref="B467" authorId="0" shapeId="0">
      <text>
        <r>
          <rPr>
            <b/>
            <sz val="8"/>
            <color indexed="81"/>
            <rFont val="Tahoma"/>
          </rPr>
          <t>Ville de Rennes:</t>
        </r>
        <r>
          <rPr>
            <sz val="8"/>
            <color indexed="81"/>
            <rFont val="Tahoma"/>
          </rPr>
          <t xml:space="preserve">
Phyllostachys nigra</t>
        </r>
      </text>
    </comment>
    <comment ref="B468" authorId="0" shapeId="0">
      <text>
        <r>
          <rPr>
            <b/>
            <sz val="8"/>
            <color indexed="81"/>
            <rFont val="Tahoma"/>
          </rPr>
          <t>Ville de Rennes:</t>
        </r>
        <r>
          <rPr>
            <sz val="8"/>
            <color indexed="81"/>
            <rFont val="Tahoma"/>
          </rPr>
          <t xml:space="preserve">
Phyllostachys aurea</t>
        </r>
      </text>
    </comment>
    <comment ref="B470" authorId="0" shapeId="0">
      <text>
        <r>
          <rPr>
            <b/>
            <sz val="8"/>
            <color indexed="81"/>
            <rFont val="Tahoma"/>
          </rPr>
          <t>Ville de Rennes:</t>
        </r>
        <r>
          <rPr>
            <sz val="8"/>
            <color indexed="81"/>
            <rFont val="Tahoma"/>
          </rPr>
          <t xml:space="preserve">
emera</t>
        </r>
      </text>
    </comment>
    <comment ref="B476" authorId="0" shapeId="0">
      <text>
        <r>
          <rPr>
            <b/>
            <sz val="8"/>
            <color indexed="81"/>
            <rFont val="Tahoma"/>
          </rPr>
          <t>Ville de Rennes:</t>
        </r>
        <r>
          <rPr>
            <sz val="8"/>
            <color indexed="81"/>
            <rFont val="Tahoma"/>
          </rPr>
          <t xml:space="preserve">
</t>
        </r>
      </text>
    </comment>
  </commentList>
</comments>
</file>

<file path=xl/sharedStrings.xml><?xml version="1.0" encoding="utf-8"?>
<sst xmlns="http://schemas.openxmlformats.org/spreadsheetml/2006/main" count="5823" uniqueCount="2575">
  <si>
    <t>Fourniture et plantation de plantes de terre de bruyère, type """"Arbustif """"(Pieris, Hamamelis, Skimmia, Daphné, Magnolia…) Conteneur 7,5L, 60/80
Ce prix s'applique à l'unité comptée en place,</t>
  </si>
  <si>
    <t xml:space="preserve"> J30643</t>
  </si>
  <si>
    <t>Fourniture et plantation de plantes de terre de bruyère, type """"Arbustif"""" (Pieris,Hamamelis, Skimmia, Daphné, Magnolia…) Bac 15L, 80/100</t>
  </si>
  <si>
    <t>Fourniture et plantation de plantes de terre de bruyère, type """"Arbustif """"(Pieris,Hamamelis, Skimmia, Daphné, Magnolia…) Bac 15L, 80/100
Ce prix s'applique à l'unité comptée en place,</t>
  </si>
  <si>
    <t xml:space="preserve"> J30644</t>
  </si>
  <si>
    <t>Fourniture et plantation de plantes de terre de bruyère, type """"Arbustif """"(Pieris, Hamamelis, Skimmia, Daphné, Magnolia…) Bac 25L, 100/150</t>
  </si>
  <si>
    <t>Fourniture et plantation de plantes de terre de bruyère, type """"Arbustif """"(Pieris, Hamamelis, Skimmia, Daphné, Magnolia…) Bac 25L, 100/150
Ce prix s'applique à l'unité comptée en place,</t>
  </si>
  <si>
    <t xml:space="preserve"> J30645</t>
  </si>
  <si>
    <t>Fourniture et plantation de plantes de terre de bruyère, type """"Arbustif """"(Pieris, Hamamelis, Skimmia, Daphné, Magnolia…) Bac 35L, 150/200</t>
  </si>
  <si>
    <t>Fourniture et plantation de plantes de terre de bruyère, type """"Arbustif """"(Pieris, Hamamelis, Skimmia, Daphné, Magnolia…) Bac 35L, 150/200
Ce prix s'applique à l'unité comptée en place,</t>
  </si>
  <si>
    <t xml:space="preserve"> J307</t>
  </si>
  <si>
    <t>Plantes vivaces, graminées, fougères, plantes aquatiques : Fourniture, plantation et garantie de reprise</t>
  </si>
  <si>
    <t>Entretien de bambou nain</t>
  </si>
  <si>
    <t>Entretien de bambou nain, comprenant :
- le désherbage manuel 4 fois par an en mai, juin, juillet et septembre et l'évacuation des adventices à la décharge de l'entreprise,
- La taille du végétal à la base en fin d'hiver, selon les préconisations du CCTP,
- la remise en état des massifs exécutée à partir de jeunes plants en motte ou en godet,
- la suppression des parties desséchées (fleurs, feuilles),
- l’arrosage manuel en quantité suffisante au pied de la plante,
- le ramassage et l’évacuation des résidus végétaux ligneux ou herbacés ,
- l'entretien particulier préconisé au CCTP.
 y compris toutes sujétions.
ce prix s'applique au mètre carré traité, mesuré en place,</t>
  </si>
  <si>
    <t xml:space="preserve"> K40502</t>
  </si>
  <si>
    <t>Entretien de bambou moyen et géant</t>
  </si>
  <si>
    <t>Entretien de bambou moyen et géant, comprenant :
- le désherbage manuel 4 fois par an en mai, juin, juillet et septembre et l'évacuation des adventices à la décharge de l'entreprise,
- le maintien du végétal à la hauteur indiquée au CCTP,
- la remise en état des massifs exécutée à partir de jeunes plants en motte ou en conteneurs,
- la suppression des parties desséchées (fleurs, feuilles),
- l’arrosage manuel en quantité suffisante au pied de la plante,
- le ramassage et l’évacuation des résidus végétaux ligneux ou herbacés ,
- l'entretien particulier préconisé au CCTP.
 y compris toutes sujétions.
ce prix s'applique au mètre carré mesuré de surface mesurée en place,</t>
  </si>
  <si>
    <t xml:space="preserve"> K406</t>
  </si>
  <si>
    <t>Rosiers</t>
  </si>
  <si>
    <t xml:space="preserve"> K40601</t>
  </si>
  <si>
    <t>Entretien de rosier paysager</t>
  </si>
  <si>
    <t>Entretien de rosier paysager, comprenant : 
- le désherbage manuel 4 fois par an en mai, juin, juillet et septembre et l'évacuation des adventices à la décharge de l'entreprise,
- la remise en état des massifs, 
- la suppression des parties desséchées (fleurs, feuilles),
- l’arrosage manuel en quantité suffisante au pied de la plante,
- la taille mécanique éventuelle,
- le ramassage et l’évacuation des résidus végétaux ligneux,
- l'entretien du paillage éventuel,
- l'entretien particulier préconisé au CCTP.
 y compris toutes sujétions.
ce prix s'applique au mètre carré traité, mesuré en place,</t>
  </si>
  <si>
    <t xml:space="preserve"> K40602</t>
  </si>
  <si>
    <t>Entretien de rosier horticole</t>
  </si>
  <si>
    <t>Entretien de rosier horticole, comprenant : 
- le désherbage manuel 4 fois par an en mai, juin, juillet et septembre et l'évacuation des adventices à la décharge de l'entreprise,
- la remise en état des massifs 
- la suppression des parties desséchées (fleurs, feuilles)
- la taille de nettoyage 2 fois par an correspondant à la suppression des inflorescences avant l'été et au maintien du volume de la plante à l'automne,
- la taille de formation une fois par an en fin d'hiver,
- l’arrosage manuel en quantité importante au pied de la plante,
- le ramassage et l’évacuation des résidus végétaux ligneux,
- l'entretien du paillage éventuel,
- l'entretien particulier préconisé au CCTP.
 y compris toutes sujétions.
ce prix s'applique au mètre carré mesuré de surface mesurée en place,</t>
  </si>
  <si>
    <t xml:space="preserve"> K40603</t>
  </si>
  <si>
    <t>Entretien de rosier de variété ancienne</t>
  </si>
  <si>
    <t>Entretien d'arbre en cépée, comprenant :
- la suppression des branches abîmées, mortes, et leur évacuation à la décharge de l'entreprise,
- l'arrosage pendant le printemps et la saison estivale,
- la réfection des cuvettes d'arrosage.
y compris toutes sujétions.
Ce prix s'applique à l'unité comptée en place,</t>
  </si>
  <si>
    <t xml:space="preserve"> K40106</t>
  </si>
  <si>
    <t>Entretien d'arbre de forme particulière</t>
  </si>
  <si>
    <t>Engazonnement par plaquage manuel sur terrain préparé et dressé   comprenant :
- le piquetage et l'implantation des zones à recouvrir,
- la fourniture des plaques ou rouleaux de gazon (composition voir CCTP)
- la manutention et la mise en place du gazon,
- les découpes et le terrautage des joints,
- le roulage,
- les arrosages nécessaires à la bonne reprise du gazon,
- l'entretien jusqu'à la première tonte (désherbage manuel si besoin) y compris cette tonte, la garantie de bonne reprise, le remplacement aux endroits défectueux jusqu'à la réception par le maître d' oeuvre,
- l'évacuation des déchets à la décharge de l'entreprise,
y compris toutes sujétions,
Ce prix s'applique au mètre carré de surface mesurée en place,</t>
  </si>
  <si>
    <t xml:space="preserve"> I10202</t>
  </si>
  <si>
    <t>Engazonnement par plaquage mécanique sur terrain préparé et dressé</t>
  </si>
  <si>
    <t>Engazonnement par plaquage mécanique sur terrain préparé et dressé   comprenant :
- le piquetage et l'implantation des zones à recouvrir,
- la fourniture des plaques ou rouleaux de gazon (composition voir CCTP)
- la manutention et la mise en place du gazon,
- les découpes et le terrautage des joints,
- le roulage,
- les arrosages nécessaires à la bonne reprise du gazon,
- l'entretien jusqu'à la première tonte (désherbage manuel si besoin) y compris cette tonte, la garantie de bonne reprise, le remplacement aux endroits défectueux jusqu'à la réception par le maître d' oeuvre,
- l'évacuation des déchets à la décharge de l'entreprise,
y compris toutes sujétions,
Ce prix s'applique au mètre carré de surface mesurée en place,</t>
  </si>
  <si>
    <t xml:space="preserve"> I2</t>
  </si>
  <si>
    <t>Ensemencement de prairie : sèche, humide…</t>
  </si>
  <si>
    <t xml:space="preserve"> I201</t>
  </si>
  <si>
    <t>Ensemencement de prairies
- sèches,
- humides</t>
  </si>
  <si>
    <t xml:space="preserve"> I20101</t>
  </si>
  <si>
    <t>Ensemencement de prairies par semis manuel (priorité à la flore spontanée)</t>
  </si>
  <si>
    <t>Fourniture et mise en place de clayonnage pour la retenue de talus, en gaulette de châtaignier sec désactivé, hauteur hors-sol 0,50 m, comprenant :
- l'installation de chantier : une emprise de terrain nécessaire à l'entreprise, la protection du chantier à l'aide d'une clôture (descriptif voir CCTP), l'amenée et le repli des matériels et matériaux, le piquetage et l'implantation des ouvrages,
- la fourniture et pose d'une armature composée d'une ligne de piquets de châtaignier de Ø 6 cm environ et de longueur 150 cm enfoncés d'environ un mètre dans le sol et espacés de 100 cm,
- la fourniture et mise en place d'un tressage en gaulette de châtaignier de Ø 20 à 30 mm et d'une longueur de 2,50 m minimum.Les branches de châtaignier auront subi un traitement autoclave,
- la fourniture et mise en place d'un haubannage composé d'une ligne de piquets d'ancrage (piquets de fer de Ø 20 mm et de longueur 100 cm entièrement enfoncés dans le sol), la pose de haubans en fil de fer galvanisé N° 16 torsadé, afin d'assurer une certaine résistance à l'ouvrage,
- la fourniture et mise en place d'une isolation par pose et fixation de Delta MS Ektadrain ou équivalent du côté intérieure du clayonnage faisant office d'isolateur,
y compris toutes sujétions,
Ce prix s'applique au mètre linéaire, mesuré en place,</t>
  </si>
  <si>
    <t xml:space="preserve"> J40202</t>
  </si>
  <si>
    <t>Fourniture et mise en place de clayonnage pour la retenue de talus, en gaulette de châtaignier sec désactivé, hauteur hors-sol 1 m</t>
  </si>
  <si>
    <t>Entretien de rosier tige ou demi-tige :
- le désherbage manuel 4 fois par an en mai, juin, juillet et septembre et l'évacuation des adventices à la décharge de l'entreprise,
- la remise en état des massifs 
- la suppression des parties desséchées (fleurs, feuilles)
- la taille de nettoyage 2 fois par an correspondant à la suppression des inflorescences avant l'été et au maintien du volume de la plante à l'automne,
- la taille de formation une fois par an en fin d'hiver,
- l’arrosage manuel en quantité importante au pied de la plante,
- le ramassage et l’évacuation des résidus végétaux ligneux,
- la vérification de la bonne stabilité et du parfait aplomb des tuteurs , la vérification des attaches et divers liens, le remplacement des éléments défaillants,
- l'entretien du paillage éventuel,
- l'entretien particulier préconisé au CCTP.
 y compris toutes sujétions.
Ce prix s'applique à l'unité comptée en place,</t>
  </si>
  <si>
    <t xml:space="preserve"> K5</t>
  </si>
  <si>
    <t>Entretien de terrain multisports</t>
  </si>
  <si>
    <t xml:space="preserve"> K50001</t>
  </si>
  <si>
    <t>entretien de terrain multisports en gazon synthétique</t>
  </si>
  <si>
    <t>Entretien de terrain multisports, comprenant :
- l'enlèvement hebdomadaire des feuilles, branches ou tout détritus et leur évacuation rapide à la décharge de l'entreprise,
- la vérification hebdomadaire des lais de gazon synthétique et des colliers de la structure métallique,
- la vérification annuelle des scellements en béton de la structure,
- le re-sablage annuel de l'ensemble de la surface par temps sec avec production par l'entreprise d'un procès verbal d'identification du sable,
- le re-sablage ponctuel sur les secteurs les plus sollicités,
- la pose des pièces détachées manquantes sur la structure ou les pare-ballons,
- l'entretien particulier préconisé au CCTP.
 y compris toutes sujétions.
ce prix s'applique au mètre carré mesuré de surface mesurée en place,</t>
  </si>
  <si>
    <t xml:space="preserve"> L</t>
  </si>
  <si>
    <t>PRESTATIONS GENERALES</t>
  </si>
  <si>
    <t xml:space="preserve"> L00001</t>
  </si>
  <si>
    <t>Réalisation d'un plan de récolement</t>
  </si>
  <si>
    <t>Réalisation d'un plan de récolement, comprenant :
- le relevé de l'aménagement réalisé et de l'ensemble de ses composants,
- le relevé de l'ensemble des plantations,
y compris toutes sujétions.
ce prix s'applique au forfait réalisé,</t>
  </si>
  <si>
    <t xml:space="preserve"> L00002</t>
  </si>
  <si>
    <t>Réalisation du Dossier des Ouvrages Exécutés (DOE)</t>
  </si>
  <si>
    <t>Réalisation du dossiers des Ouvrages Exécutés, comprenant :
- la fourniture du DOE
- la fourniture des éléments nécessaires à l'établissement du DIUO
 y compris toutes sujétions.
ce prix s'applique au forfait réalisé,</t>
  </si>
  <si>
    <t>Fourniture et plantation de bambous comprenant :
- l'habillage du système racinaire et de la partie aérienne,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1 an,
y compris toutes sujétions,</t>
  </si>
  <si>
    <t xml:space="preserve"> J30801</t>
  </si>
  <si>
    <t>Fourniture et plantation de bambous nains , Conteneur 1,3L, 15/20</t>
  </si>
  <si>
    <t>Fourniture et plantation de bambous nains , Conteneur 1,3L, 15/20
Ce prix s'applique à l'unité comptée en place,</t>
  </si>
  <si>
    <t xml:space="preserve"> J30802</t>
  </si>
  <si>
    <t>Fourniture et plantation de bambous nains, Conteneur 2L, 20/30</t>
  </si>
  <si>
    <t>Fourniture et plantation de bambous nains, Conteneur 2L, 20/30
Ce prix s'applique à l'unité comptée en place,</t>
  </si>
  <si>
    <t xml:space="preserve"> J30803</t>
  </si>
  <si>
    <t>Fourniture et plantation de bambous nains , Conteneur 3L, 30/40</t>
  </si>
  <si>
    <t>Fourniture et plantation de bambous nains , Conteneur 3L, 30/40
Ce prix s'applique à l'unité comptée en place,</t>
  </si>
  <si>
    <t xml:space="preserve"> J30804</t>
  </si>
  <si>
    <t>Fourniture et plantation de bambous moyenne végétation , Conteneur 4L, 40/60</t>
  </si>
  <si>
    <t>Fourniture et plantation de bambous moyenne végétation , Conteneur 4L, 40/60
Ce prix s'applique à l'unité comptée en place,</t>
  </si>
  <si>
    <t xml:space="preserve"> J30805</t>
  </si>
  <si>
    <t>Fourniture et plantation de bambous moyenne végétation , Conteneur 5L, 60/80</t>
  </si>
  <si>
    <t>Fourniture et plantation de bambous moyenne végétation , Conteneur 5L, 60/80
Ce prix s'applique à l'unité comptée en place,</t>
  </si>
  <si>
    <t xml:space="preserve"> J30806</t>
  </si>
  <si>
    <t>Fourniture et pose d'une lisse fixe en pin traité classe 4 de hauteur hors-sol 1,20m par des éléments de 2,00ml</t>
  </si>
  <si>
    <t>Fourniture et pose de corbeille à papier  en béton imitation bois</t>
  </si>
  <si>
    <t>Fourniture et pose de panneau de règlement des aires de jeux Bi-Mat</t>
  </si>
  <si>
    <t>Fourniture et pose de panneau de règlement des aires de jeux à fixer</t>
  </si>
  <si>
    <t>Fourniture et pose de banc béton imitation bois</t>
  </si>
  <si>
    <t>Fourniture et pose de table pique-nique en béton avec bancs</t>
  </si>
  <si>
    <t>Fourniture et pose d' un jeu sur ressort 1place</t>
  </si>
  <si>
    <t>Fourniture et pose d' un jeu sur ressort 4places</t>
  </si>
  <si>
    <t>Fourniture et pose d' une table de ping-pong en granito-ciment à fixer (spitter)</t>
  </si>
  <si>
    <t>Fourniture et pose d' un baby-foot en granito-ciment à fixer</t>
  </si>
  <si>
    <t>Fourniture et pose d'une structure de jeux pour petite enfance 2-8 ans</t>
  </si>
  <si>
    <t>Fourniture et pose d' une structure de jeux pour moyenne enfance 3-6 ans</t>
  </si>
  <si>
    <t>Fourniture et pose de structure de jeux pour adolescents 6-12 ans</t>
  </si>
  <si>
    <t>Arrachage d'arbustes, partie aérienne et souche, évacuation ferme des bois (non broyé)</t>
  </si>
  <si>
    <t>Réalisation d'une fosse de plantation pour arbuste sur 0,60m avec chargt et évacuation</t>
  </si>
  <si>
    <t>Réalisation d'une fosse de plantation pour arbre avec chargt et évacuation, profondeur 1.10m
- de 2m3 sur espace vert
- de 8m3 sur surface minérale
- de 12m3 sur voirie avec mélange terre pierre</t>
  </si>
  <si>
    <t>Création de fossés par intervention mécanique y compris évacuation</t>
  </si>
  <si>
    <t>Reprofilage talus, fossé, noue…</t>
  </si>
  <si>
    <t xml:space="preserve"> D20302</t>
  </si>
  <si>
    <t>Réalisation de mélange terre / pierre</t>
  </si>
  <si>
    <t>Mise en place de mélange terre / pierre</t>
  </si>
  <si>
    <t>Réalisation et mise en place de gabion  en treillis soudé (section 1m ) sans fondation
-avec mise en œuvre manuelle d' un parement, face supérieure et remplissage mécanique de pierre,</t>
  </si>
  <si>
    <t xml:space="preserve"> F40203</t>
  </si>
  <si>
    <t>Réalisation et mise en place de gabion  en treillis soudé (section 1m ) sans fondation
-avec mise en œuvre manuelle de 2 parements, face supérieure et remplissage mécanique de pierre,</t>
  </si>
  <si>
    <t xml:space="preserve"> F40302</t>
  </si>
  <si>
    <t>Fourniture et mise en place d'enrochement  pose traditionnelle</t>
  </si>
  <si>
    <t>Fourniture et mise en place d'enrochement type schiste - 60x80x(80-200) pose alignée</t>
  </si>
  <si>
    <t>Fourniture et pose de pavé mosaïque 10x10x10 pour exécution de caniveau (sur 3 rangs)</t>
  </si>
  <si>
    <t xml:space="preserve">Surfaçage d'une surface sablée en sable granitique 0/6,3 ou 0/8, type Quélaron ép.= 2 à 3 cm
Exemple : square Louis Jouvet, Champollion, Touraine,
</t>
  </si>
  <si>
    <t xml:space="preserve">Exécution d'une surface sablée en sable granitique 0/6,3 ou 0/8, type Quélaron ou équivalent , ép.= 5 cm fini
</t>
  </si>
  <si>
    <t xml:space="preserve">Exécution d'une surface sablée en sable 4/6 ou 4/8 concassé, ép.= 5 cm fini
</t>
  </si>
  <si>
    <t xml:space="preserve">Exécution d'une surface sablée en sable 4/6 ou 4/8 alluvionnaire (roulé) ép.= 4 cm
Exemple : Parc du Thabor, Oberthur,
</t>
  </si>
  <si>
    <t xml:space="preserve">Exécution d'une surface gravillonnée en gravillons concassé 4/10, (type mignonette) ép.= 4 cm
pour allée plutôt champêtre
</t>
  </si>
  <si>
    <t xml:space="preserve">Exécution d'une surface gravillonnée en gravillons concassé 0/4 ou 0/12, ép.= 4 cm
exemple : jardins familiaux Poterie
</t>
  </si>
  <si>
    <t xml:space="preserve">Fourniture et pose de moellon schiste, sur mortier
</t>
  </si>
  <si>
    <t xml:space="preserve"> G40107</t>
  </si>
  <si>
    <t xml:space="preserve">Fourniture et pose de moellon schiste, sur joint gazon
</t>
  </si>
  <si>
    <t>Fourniture  et pose de dalle en granit, ép. 4cm,  face supérieure grenaillée sur mortier,</t>
  </si>
  <si>
    <t>Fourniture et pose de dalle en granit, ép. 4cm sur une fondation de sable de 0,04 m avec joints gazon</t>
  </si>
  <si>
    <t>Fourniture et pose de pavés béton poreux</t>
  </si>
  <si>
    <t xml:space="preserve">Fourniture et pose de barrières en acier type Barrière Bordure espace vert h 0.70m (0.35 hors sol) </t>
  </si>
  <si>
    <t xml:space="preserve">Fourniture et pose de barrières en acier type Barrière Bordure espace vert h 0.90m (0.60 hors sol) </t>
  </si>
  <si>
    <t xml:space="preserve">Fourniture et pose de barrières en acier type Barrière Bordure espace vert h 1.20m (0.90 hors sol) </t>
  </si>
  <si>
    <t xml:space="preserve"> H20307</t>
  </si>
  <si>
    <t>Fourniture et mise en place d'une barrière anti-racinaire de type Rootcontrol ou équivalent</t>
  </si>
  <si>
    <t>Fourniture et mise en place d'une barrière anti-racinaire de type Rootcontrol ou équivalent comprenant :
- la fourniture d'un revêtement non-tissé enduit (barrière anti-rhizome), 100 % polypropylène semi-rigide, 100 % étanche,
- le positionnement (face lisse) du côté des racines des végétaux,
- la mise en place dans les règles de l'art suivant les prescriptions du fabricant,
- dans le cadre d'une mise en place de la membrane dans une fosse d'arbre, prévoir un recouvrement de 0,50 m et un sens de pose inverse au sens des aiguilles d'une montre,
- dans le cadre d'une mise en place de la membrane le long de massifs (bambous notamment), prévoir une inclinaison vers l' intérieur de 10 à 15° par rapport à la verticale,
y compris toutes sujétions,
Ce prix s'applique au mètre carré de surface mesurée en place,</t>
  </si>
  <si>
    <t xml:space="preserve"> J10503</t>
  </si>
  <si>
    <t>Fourniture et mise en place d'une barrière de protection des fondations de type DELTA-MS ou équivalente</t>
  </si>
  <si>
    <t>Fourniture et mise en place d'une barrière de protection des fondations de type DELTA-MS ou équivalent comprenant :
- la fourniture d'un polyéthylène spécial, à résistance élevée aux chocs, indéformable, de 0,6 mm d'épaisseur, 
- le positionnement avec les excroissances du côté de la maçonnerie,
- la mise en place dans les règles de l'art suivant les prescriptions du fabricant, recouvrement soigneux des lés,
y compris toutes sujétions,
Ce prix s'applique au mètre carré de surface mesurée en place,</t>
  </si>
  <si>
    <t xml:space="preserve"> J2</t>
  </si>
  <si>
    <t>Transplantation,</t>
  </si>
  <si>
    <t xml:space="preserve"> J201</t>
  </si>
  <si>
    <t>Transplantation sur espace vert ou espace public</t>
  </si>
  <si>
    <t xml:space="preserve"> J20101</t>
  </si>
  <si>
    <t>Transplantation d'arbre jusqu'au Ø 30/35</t>
  </si>
  <si>
    <t>Arbres et conifères</t>
  </si>
  <si>
    <t xml:space="preserve"> K40101</t>
  </si>
  <si>
    <t>Nettoyage d'arbre existant
(pour arbre adulte conservé dans le cadre du projet)</t>
  </si>
  <si>
    <t>Nettoyage d'arbre existant, comprenant :
- la suppression du bois mort, et son évacuation à la décharge de l'entreprise,
- l'élagage éventuel,
y compris toutes sujétions.
Ce prix s'applique à l'unité comptée en place,</t>
  </si>
  <si>
    <t xml:space="preserve"> K40102</t>
  </si>
  <si>
    <t>Entretien de conifère</t>
  </si>
  <si>
    <t>Entretien de conifère, comprenant :
- la suppression des branches abîmées, mortes, et leur évacuation à la décharge de l'entreprise,
- l'arrosage pendant le printemps et la saison estivale,
- la réfection des cuvettes d'arrosage,
- la vérification de la bonne stabilité du tuteur (la vérification des attaches et divers liens, le remplacement des éléments défaillants),
y compris toutes sujétions.
Ce prix s'applique à l'unité comptée en place,</t>
  </si>
  <si>
    <t xml:space="preserve"> K40103</t>
  </si>
  <si>
    <t>Entretien de baliveau</t>
  </si>
  <si>
    <t>Entretien de baliveau, comprenant :
- la suppression des branches abîmées, mortes, et leur évacuation à la décharge de l'entreprise,
- l'arrosage pendant le printemps et la saison estivale,
- la réfection des cuvettes d'arrosage,
- la vérification de la bonne stabilité du tuteur (la vérification des attaches et divers liens, le remplacement des éléments défaillants),
y compris toutes sujétions.
Ce prix s'applique à l'unité comptée en place,</t>
  </si>
  <si>
    <t xml:space="preserve"> K40104</t>
  </si>
  <si>
    <t>Entretien d'arbre tige</t>
  </si>
  <si>
    <t>Entretien d'arbre tige, comprenant :
- la suppression des branches abîmées, mortes, et leur évacuation à la décharge de l'entreprise,
- l'arrosage pendant le printemps et la saison estivale,
- la réfection des cuvettes d'arrosage,
- la vérification de la bonne stabilité et du parfait aplomb des tuteurs (le maintien ferme et vertical de l’arbre, la bonne fixation des planchettes, la vérification des attaches et divers liens, le remplacement des éléments défaillants).
y compris toutes sujétions.
Ce prix s'applique à l'unité comptée en place,</t>
  </si>
  <si>
    <t xml:space="preserve"> K40105</t>
  </si>
  <si>
    <t>Entretien d'arbre en cépée</t>
  </si>
  <si>
    <t>Fourniture et plantation de conifères comprenant :
- l'habillage du système racinaire et de la partie aérienne,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1 an,
y compris toutes sujétions,</t>
  </si>
  <si>
    <t xml:space="preserve"> J30101</t>
  </si>
  <si>
    <t>Fourniture et plantation de conifères en jeunes plants, godet de 9</t>
  </si>
  <si>
    <t>Fourniture et plantation de conifères en jeunes plants, godet de 9
Ce prix s'applique à l'unité comptée en place,</t>
  </si>
  <si>
    <t xml:space="preserve"> J30102</t>
  </si>
  <si>
    <t>Fourniture et plantation de conifères, cont. 5L ou motte équivalente, H : 60/80</t>
  </si>
  <si>
    <t>Fourniture et plantation de conifères, cont. 5L ou motte équivalente, H : 60/80
Ce prix s'applique à l'unité comptée en place,</t>
  </si>
  <si>
    <t xml:space="preserve"> J30103</t>
  </si>
  <si>
    <t>Fourniture et plantation de conifères, cont. 10L ou motte équivalente, H : 80/100</t>
  </si>
  <si>
    <t>Fourniture et plantation de conifères, cont. 10L ou motte équivalente, H : 80/100
Ce prix s'applique à l'unité comptée en place,</t>
  </si>
  <si>
    <t xml:space="preserve"> J30104</t>
  </si>
  <si>
    <t>Fourniture et plantation de conifères, motte, 125/150</t>
  </si>
  <si>
    <t>Fourniture et plantation de conifères, motte, 125/150
Ce prix s'applique à l'unité comptée en place,</t>
  </si>
  <si>
    <t xml:space="preserve"> J30105</t>
  </si>
  <si>
    <t>Fourniture et plantation de conifères, motte, 150/200</t>
  </si>
  <si>
    <t>Abattage par démontage d' un arbre de diamètre &lt; à 0,50m, sans essouchement, sur espace public (grimpeur)</t>
  </si>
  <si>
    <t>Abattage par démontage d' un arbre de 0,50m à 1,00m de diamètre, sans essouchement, sur espace public (nacelle)</t>
  </si>
  <si>
    <t>Abattage directionnel d' un arbre de diamètre &lt; à 0,50m, sans essouchement sur espace dégagé</t>
  </si>
  <si>
    <t>Abattage directionnel d' un arbre de 0,50m à 1,00m de diamètre, sans essouchement, sur espace dégagé</t>
  </si>
  <si>
    <t>Abattage directionnel d' un arbre de diamètre &gt; à 1,00m, sans essouchement, sur espace dégagé</t>
  </si>
  <si>
    <t>Fourniture et plantation de conifères, motte, 250/300</t>
  </si>
  <si>
    <t>Fourniture et plantation d'arbres """"baliveau""""  200/250, motte</t>
  </si>
  <si>
    <t>Fourniture et plantation d'arbres """"en cépée""""   3 troncs, MG, 200/250</t>
  </si>
  <si>
    <t>Fourniture et plantation d'arbres """"en cépée remontée""""   3 troncs, MG, 200/250</t>
  </si>
  <si>
    <t>Fourniture et plantation d'arbres de formes particulières , """"plateau d'ombrage"""", en 30/35, MG</t>
  </si>
  <si>
    <t>Fourniture et plantation d'arbres particuliers , """"palmier"""" à 1 stipe, hauteur stipe 140/150</t>
  </si>
  <si>
    <t>Fourniture et plantation d'arbres particuliers , """"palmier"""" 1stipe, hauteur totale 250/300 stipe 180/200</t>
  </si>
  <si>
    <t>Fourniture et plantation d'arbres  fruitiers en  motte  16/18</t>
  </si>
  <si>
    <t>Fourniture et plantation d'arbustes en Conteneur 3L ou Motte 40/60</t>
  </si>
  <si>
    <t>Fourniture et plantation d'arbustes de forme particulière """"couvre-sol"""" en Cont. 4 L40/60</t>
  </si>
  <si>
    <t>Fourniture et plantation d'arbustes de forme particulière """"couvre-sol"""" en Cont. 1,3 L 40/60</t>
  </si>
  <si>
    <t>Fourniture et plantation d'arbustes de forme particulière """"grimpants"""" de cat. 2, cont. 3 L 60/100</t>
  </si>
  <si>
    <t xml:space="preserve">Fourniture et plantation de charmille 90/120 pour haies </t>
  </si>
  <si>
    <t>Fourniture et plantation d'arbustes fruitiers en Cont. 2 L, 40/60, 3/5 branches</t>
  </si>
  <si>
    <t>Fourniture et plantation de plantes de terre de bruyère, type Hortensias Conteneur 25 L 60/80, 5/7 branches</t>
  </si>
  <si>
    <t>Fourniture et plantation de plantes de terre de bruyère, type Hortensias Conteneur 15 L 60/80, 5/7 branches</t>
  </si>
  <si>
    <t>Fourniture et plantation de plantes de terre de bruyère, type Bruyères Conteneur 1,3 litres</t>
  </si>
  <si>
    <t>Fourniture et plantation de plantes de terre de bruyère, type Camélia Bac  15 L 80/100,</t>
  </si>
  <si>
    <t>Fourniture et plantation de plantes de terre de bruyère, type Azalées Conteneur 5L, 30/40</t>
  </si>
  <si>
    <t>Fourniture et plantation de plantes de terre de bruyère, type Camélia 35L 80/100,</t>
  </si>
  <si>
    <t>Fourniture et plantation de plantes de terre de bruyère, type Rhododendrons Bac 15L, 60/80</t>
  </si>
  <si>
    <t>Fourniture et plantation de plantes de terre de bruyère, type Rhododendrons motte, 80/100</t>
  </si>
  <si>
    <t>Fourniture et plantation de plantes de terre de bruyère, type Magnolia en cépée Bac 20L, 250/300</t>
  </si>
  <si>
    <t>Fourniture et plantation de plantes de terre de bruyère, type Arbustif (Pieris, Hamamelis, Skimmia, Daphné, …) Conteneur 10L, 60/80</t>
  </si>
  <si>
    <t>Fourniture et plantation de plantes de terre de bruyère, type Arbustif (Pieris,Hamamelis, Skimmia, Daphné, …) Bac 15L, 40/60</t>
  </si>
  <si>
    <t>Fauchage de fossé, comprenant :
- le fauchage après maturité des graines. La hauteur de coupe sera réglée à + 10 cm par rapport au niveau du sol. Le fauchage sera effectué par temps sec à la fin du mois de juin (ou au mois de juillet), 
- une deuxième coupe en septembre en cas de repousse importante,
- le ramassage et l'évacuation rapide des produits de fauche à la décharge de l'entreprise.
- au pied des arbres et éléments de mobilier, l'entreprise coupera les bardes de graminées 2 fois par an.
y compris toutes sujétions.
ce prix s'applique au mètre carré mesuré de surface mesurée en place,</t>
  </si>
  <si>
    <t xml:space="preserve"> K20304</t>
  </si>
  <si>
    <t>Fauchage manuel de berge</t>
  </si>
  <si>
    <t>Fauchage manuel de berge, comprenant :
- 2 fauchages par an. La hauteur de coupe sera réglée à + 10 cm par rapport au niveau du sol. Le fauchage sera effectué par temps sec avec le matériel approprié, 
- le ramassage et l'évacuation rapide des produits de fauche à la décharge de l'entreprise.
y compris toutes sujétions.
ce prix s'applique au mètre carré mesuré de surface mesurée en place,</t>
  </si>
  <si>
    <t xml:space="preserve"> K20305</t>
  </si>
  <si>
    <t>Fauchage mécanique de berge</t>
  </si>
  <si>
    <t>Fauchage mécanique de berge, comprenant :
- 2 fauchages par an. La hauteur de coupe sera réglée à + 10 cm par rapport au niveau du sol. Le fauchage sera effectué par temps sec avec le matériel approprié, 
- le ramassage et l'évacuation rapide des produits de fauche à la décharge de l'entreprise.
y compris toutes sujétions.
ce prix s'applique au mètre carré mesuré de surface mesurée en place,</t>
  </si>
  <si>
    <t xml:space="preserve"> K20306</t>
  </si>
  <si>
    <t>Réalisation de bottes de foin rectangulaires</t>
  </si>
  <si>
    <t>Fourniture et pose de banc de parc type Centaure ou équivalent
(voir  Cahier des Prescriptions Générales de l' Espace Public de la Ville de Rennes, livret espaces verts: Fiche descriptive n° 1.1) comprenant:
- piétement métallique thermolaqué
- lames bois européen ou exotique (Iroko avec certificat de provenance)
- thermolaquage RAL 7026
- bois teinte naturelle,
- fixation dans massifs béton de 0,30x0,30x0,50cm,
y compris toutes sujétions.
Ce prix s'applique à l' unité comptée en place,</t>
  </si>
  <si>
    <t xml:space="preserve"> H20404</t>
  </si>
  <si>
    <t>Fourniture et pose de banc rustique bois</t>
  </si>
  <si>
    <t>Fourniture et pose de banc rustique bois
(voir  Cahier des Prescriptions Générales de l' Espace Public de la Ville de Rennes, livret espaces verts: Fiche descriptive n° 1.2) comprenant:
- piétement en bois
- pin traité autoclave classe 4,
- coloris teinte naturelle bois,
- fixation dans massifs béton de 0,30x0,30x0,50cm,
y compris toutes sujétions.
Ce prix s'applique à l' unité comptée en place,</t>
  </si>
  <si>
    <t xml:space="preserve"> H20405</t>
  </si>
  <si>
    <t>Fourniture et pose de banc maternelle</t>
  </si>
  <si>
    <t>Tuyauterie et raccord à compression (tés, coudes, manchon) (Fourniture et pose)sans tranchée</t>
  </si>
  <si>
    <t>Fourniture et pose de banc maternelle
(voir  Cahier des Prescriptions Générales de l' Espace Public de la Ville de Rennes, livret espaces verts: Fiche descriptive n° 1.3) comprenant:
- piétement métallique thermolaqué
- lames bois exotique,
- peinture Epoxy rouge, bleue ou jaune,
- fixation dans massifs béton de 0,30x0,30x0,50cm,
y compris toutes sujétions.
Ce prix s'applique à l' unité comptée en place,</t>
  </si>
  <si>
    <t xml:space="preserve"> H20406</t>
  </si>
  <si>
    <t>Dépose de bordures en ml?</t>
  </si>
  <si>
    <t>Décapage et stockage de terre végétale sur site (minipelle)</t>
  </si>
  <si>
    <t>Décapage et stockage de terre végétale en hors site (minipelle)</t>
  </si>
  <si>
    <t>Démolition d' ouvrage en maçonnerie de pierre avec récupération sans nettoyage, mise sur palette?</t>
  </si>
  <si>
    <r>
      <t xml:space="preserve">Mise en décharge de déblais inertes homogènes (préciser nature des matériaux) en décharge </t>
    </r>
    <r>
      <rPr>
        <b/>
        <sz val="10"/>
        <rFont val="Arial"/>
      </rPr>
      <t>avec</t>
    </r>
    <r>
      <rPr>
        <sz val="10"/>
        <rFont val="Arial"/>
      </rPr>
      <t xml:space="preserve"> cout de transport</t>
    </r>
  </si>
  <si>
    <r>
      <t xml:space="preserve">Mise en décharge de déblais inertes hétérogènes en décharge </t>
    </r>
    <r>
      <rPr>
        <b/>
        <sz val="10"/>
        <rFont val="Arial"/>
      </rPr>
      <t>avec</t>
    </r>
    <r>
      <rPr>
        <sz val="10"/>
        <rFont val="Arial"/>
      </rPr>
      <t xml:space="preserve"> cout de transport</t>
    </r>
  </si>
  <si>
    <t>Réalisation de maçonnerie en brique pleine masse ( largeur entre 22 et 45 cm ) sur chant en m3?</t>
  </si>
  <si>
    <t>Réalisation d'un couronnement de muret en béton, largeur entre 0,30et 0,50m Vicaire</t>
  </si>
  <si>
    <t>Fourniture et pose de demi-caniveaux module 14x20x14?, largeur 0,30m (2 rangs)</t>
  </si>
  <si>
    <t>Exécution d'une dalle en béton dosé à 350 kg de ciment sans coffrage?</t>
  </si>
  <si>
    <t>Fourniture et mise en œuvre sable 0/4 concassé (sur espace ouvert) espace chien?</t>
  </si>
  <si>
    <t>Fourniture et pose de bac en bois pour arbre  sans(?) contre-bac de 1,30x1,30x1,40m</t>
  </si>
  <si>
    <t>Prix Unitaire Fourniture Euro</t>
  </si>
  <si>
    <t>Prix Unitaire.   M d'Œuvre Euro</t>
  </si>
  <si>
    <t>Prix Unitaire TOTAL Euro</t>
  </si>
  <si>
    <t>Fourniture et plantation d'arbres  fruitiers en  RN  12/14
Ce prix s'applique à l'unité comptée en place,</t>
  </si>
  <si>
    <t xml:space="preserve"> J30304</t>
  </si>
  <si>
    <t>Fourniture et plantation d'arbres  fruitiers en  Motte  12/14</t>
  </si>
  <si>
    <t>Fourniture et plantation d'arbres  fruitiers en  Motte  12/14
Ce prix s'applique à l'unité comptée en place,</t>
  </si>
  <si>
    <t xml:space="preserve"> J30305</t>
  </si>
  <si>
    <t>Fourniture et plantation d'arbres  fruitiers en  RN  16/18</t>
  </si>
  <si>
    <t>Fourniture et plantation d'arbres  fruitiers en  RN  16/18
Ce prix s'applique à l'unité comptée en place,</t>
  </si>
  <si>
    <t xml:space="preserve"> J30306</t>
  </si>
  <si>
    <t>Fourniture et plantation d'arbres  fruitiers en  Motte  16/18</t>
  </si>
  <si>
    <t>Entretien de haie taillée sur trois côtés, comprenant : 
- l'arrosage pendant la saison estivale,
- la taille des branches mortes ou abîmées,
- la taille de la haie aux hauteurs définies dans le CCTP une fois par an,
- intervention dans le végétal pour supprimer les grosses charpentières et favoriser les jeunes pousses pour former une base bien touffue.
y compris toutes sujétions.
ce prix s'applique au mètre linéaire traité, mesuré en place,</t>
  </si>
  <si>
    <t xml:space="preserve"> K40205</t>
  </si>
  <si>
    <t>Entretien de plante tapissante</t>
  </si>
  <si>
    <t>Entretien de plante tapissante, comprenant :
- le désherbage manuel 4 fois par an en mai, juin, juillet et septembre et l'évacuation des adventices à la décharge de l'entreprise,
- la remise en état des massifs à partir de jeunes plants en conteneurs,
- l'arrosage manuel en quantité suffisante au pied de la plante,
- le ramassage et l'évacuation à la décharge de l'entreprise des résidus végétaux ligneux ou herbacés,
- l'entretien particulier préconisé au CCTP.
y compris toutes sujétions.
ce prix s'applique au mètre carré traité, mesuré en place,</t>
  </si>
  <si>
    <t xml:space="preserve"> K40206</t>
  </si>
  <si>
    <t>Entretien de massif de couvre-sols</t>
  </si>
  <si>
    <t>Entretien de couvre-sols, comprenant :
- le désherbage manuel 4 fois par an en mai, juin, juillet et septembre et l'évacuation des adventices à la décharge de l'entreprise,
- la remise en état des massifs à partir de jeunes plants en conteneurs ou en godet,
- l'arrosage manuel en quantité suffisante au pied de la plante,
- le ramassage et l'évacuation à la décharge de l'entreprise des résidus végétaux ligneux ou herbacés,
- l'entretien particulier préconisé au CCTP.
y compris toutes sujétions.
ce prix s'applique au mètre carré mesuré de surface mesurée en place,</t>
  </si>
  <si>
    <t xml:space="preserve"> K40207</t>
  </si>
  <si>
    <t>Entretien de plante grimpante</t>
  </si>
  <si>
    <t>Fourniture et plantation d'arbustes en Conteneur 5L ou Motte 60/80
Ce prix s'applique à l'unité comptée en place,</t>
  </si>
  <si>
    <t xml:space="preserve"> J30406</t>
  </si>
  <si>
    <t>Fourniture et plantation d'arbustes en Conteneur 7,5L ou Motte 80/100</t>
  </si>
  <si>
    <t>Fourniture et plantation d'arbustes en Conteneur 7,5L ou Motte 80/100
Ce prix s'applique à l'unité comptée en place,</t>
  </si>
  <si>
    <t xml:space="preserve"> J30407</t>
  </si>
  <si>
    <t>Fourniture et plantation d'arbustes en Conteneur 10L ou Motte 100/120</t>
  </si>
  <si>
    <t>Fourniture et plantation d'arbustes en Conteneur 10L ou Motte 100/120
Ce prix s'applique à l'unité comptée en place,</t>
  </si>
  <si>
    <t xml:space="preserve"> J30408</t>
  </si>
  <si>
    <t>Fourniture et plantation d'arbustes en Bac 25L ou Motte 120/150</t>
  </si>
  <si>
    <t>Fourniture et plantation d'arbustes en Bac 25L ou Motte 120/150
Ce prix s'applique à l'unité comptée en place,</t>
  </si>
  <si>
    <t xml:space="preserve"> J30409</t>
  </si>
  <si>
    <t>Fourniture et plantation d'arbustes en Bac 50L ou Motte,  touffe forte  150/200</t>
  </si>
  <si>
    <t>Fourniture et plantation d'arbustes en Bac 50L ou Motte,  touffe forte  150/200
Ce prix s'applique à l'unité comptée en place,</t>
  </si>
  <si>
    <t xml:space="preserve"> J30410</t>
  </si>
  <si>
    <t>Fourniture et plantation d'arbustes en Bac 80L ou Motte,  touffe forte  200/250</t>
  </si>
  <si>
    <t>Fourniture et plantation d'arbustes en Bac 80L ou Motte,  touffe forte  200/250
Ce prix s'applique à l'unité comptée en place,</t>
  </si>
  <si>
    <t xml:space="preserve"> J30411</t>
  </si>
  <si>
    <t>Fourniture et plantation d'arbustes en Bac 110L ou Motte,  touffe forte  250/300</t>
  </si>
  <si>
    <t>Fourniture et plantation d'arbustes en Bac 110L ou Motte,  touffe forte  250/300
Ce prix s'applique à l'unité comptée en place,</t>
  </si>
  <si>
    <t xml:space="preserve"> J30420</t>
  </si>
  <si>
    <t>Fourniture et plantation d'arbustes de forme particulière """"couvre-sol"""" en Godet</t>
  </si>
  <si>
    <t>Fourniture et plantation d'arbustes de forme particulière """"couvre-sol"""" en Godet
Ce prix s'applique à l'unité comptée en place,</t>
  </si>
  <si>
    <t xml:space="preserve"> J30421</t>
  </si>
  <si>
    <t>Fourniture et plantation d'arbustes de forme particulière """"couvre-sol"""" en Cont. 1,3 L</t>
  </si>
  <si>
    <t>Fourniture et plantation d'arbustes de forme particulière """"couvre-sol"""" en Cont. 1,3 L
Ce prix s'applique à l'unité comptée en place,</t>
  </si>
  <si>
    <t xml:space="preserve"> J30422</t>
  </si>
  <si>
    <t>Fourniture et plantation d'arbustes de forme particulière """"couvre-sol"""" en Cont. 2 L</t>
  </si>
  <si>
    <t>Fourniture et plantation d'arbustes de forme particulière """"couvre-sol"""" en Cont. 2 L
Ce prix s'applique à l'unité comptée en place,</t>
  </si>
  <si>
    <t xml:space="preserve"> J30423</t>
  </si>
  <si>
    <t>La réalisation de bottes de foin rectangulaires de 10 à 15 kgs et leur livraison à la ferme des bois, ou à laisser sur place, selon les préconisations du CCTP.
y compris toutes sujétions.
Ce prix s'applique au forfait réalisé,</t>
  </si>
  <si>
    <t xml:space="preserve"> K204</t>
  </si>
  <si>
    <t>Fauchage de tapis de trèfle</t>
  </si>
  <si>
    <t xml:space="preserve"> K20401</t>
  </si>
  <si>
    <t>Fauchage de tapis de trèfle, comprenant :
- le fauchage en juillet. La hauteur de coupe sera réglée à  + 6 cm par rapport au niveau du sol
- une deuxième coupe sera effectuée fin septembre si nécessaire Le fauchage se fera par temps sec avec le matériel approprié,
- le ramassage et l'évacuation rapide des produits de fauche à la décharge de l'entreprise.
y compris toutes sujétions.
ce prix s'applique au mètre carré mesuré de surface mesurée en place,</t>
  </si>
  <si>
    <t xml:space="preserve"> K205</t>
  </si>
  <si>
    <t>Fauchage de noue, fossé et banquette enherbée</t>
  </si>
  <si>
    <t xml:space="preserve"> K20501</t>
  </si>
  <si>
    <t>Fauchage de banquette enherbée</t>
  </si>
  <si>
    <t>Fauchage de banquette enherbée, comprenant :
- la coupe réglée à 6 cm, déclenchement à 10 cm,
- le ramassage et l'évacuation des produits de tonte à la décharge de l'entreprise, si nécessaire,
y compris toutes sujétions.
ce prix s'applique au mètre carré mesuré de surface mesurée en place,</t>
  </si>
  <si>
    <t xml:space="preserve"> K20502</t>
  </si>
  <si>
    <t xml:space="preserve"> K20503</t>
  </si>
  <si>
    <t>Fauchage de fossé, comprenant :
- le fauchage après maturité des graines. La hauteur de coupe sera réglée à + 10 cm par rapport au niveau du sol. Le fauchage sera effectué par temps sec à la fin du mois de juin (ou au mois de juillet), 
- une deuxième coupe en septembre en cas de repousse importante,
- le ramassage et l'évacuation rapide des produits de fauche à la décharge de l'entreprise.
- au pied des arbres et éléments de mobilier, l'entreprise coupera les bardes de graminées 2 fois par an en veillant à ne pas blesser le tronc des arbres
y compris toutes sujétions.
ce prix s'applique au mètre carré mesuré de surface mesurée en place,</t>
  </si>
  <si>
    <t xml:space="preserve"> K20504</t>
  </si>
  <si>
    <t xml:space="preserve"> K20505</t>
  </si>
  <si>
    <t xml:space="preserve"> K20506</t>
  </si>
  <si>
    <t xml:space="preserve"> K3</t>
  </si>
  <si>
    <t>Entretien de surfaces perméables (sablés, sablés enherbés, surfaces minérales enherbées)</t>
  </si>
  <si>
    <t xml:space="preserve"> K30101</t>
  </si>
  <si>
    <t>Colonisation par enherbement (plan de désherbage niveau A)</t>
  </si>
  <si>
    <t>Colonisation par enherbement (plan de désherbage niveau A), comprenant :
- le ratissage ou griffage pour nettoyage de surface,
- la tonte ou le fauchage de manière à ce que la hauteur soit comprise entre 4 et 8 cm,
- le ramassage et l'évacuation rapide des produits de coupe à la décharge de l'entreprise.
- les mesures de protection vis à vis des plantations avoisinantes, des véhicules.
y compris toutes sujétions.
ce prix s'applique au mètre carré mesuré de surface mesurée en place,</t>
  </si>
  <si>
    <t xml:space="preserve"> K30102</t>
  </si>
  <si>
    <t>Tolérance d'un enherbement limité (plan de désherbage niveau B)</t>
  </si>
  <si>
    <t>Tolérance et maîtrise d'un enherbement (plan de désherbage niveau B), comprenant :
- le ratissage ou griffage pour nettoyage de surface,
- le désherbage manuel, le débroussaillage (débroussailleuse à dos, tondeuse, et l'utilisation d'un désherbeur thermique si nécessaire) 3 fois par an,
- les mesures de protection vis à vis des plantations avoisinantes et des véhicules.
y compris toutes sujétions.
ce prix s'applique au mètre carré mesuré de surface mesurée en place,</t>
  </si>
  <si>
    <t xml:space="preserve"> K30103</t>
  </si>
  <si>
    <t>Pas de tolérance aux herbes spontanées (plan de désherbage niveau C)</t>
  </si>
  <si>
    <t>Pas de tolérance aux herbes spontanées (plan de désherbage niveau c), comprenant :
- le ratissage ou griffage pour nettoyage de surface,
- le désherbage contrôlé réalisé, à l’aide d’un appareil type désherbeur thermique ou de type aquacide ou encore manuellement (3 passages annuels),
- les mesures de protection vis à vis des plantations avoisinantes et des véhicules.
y compris toutes sujétions.
ce prix s'applique au mètre carré mesuré de surface mesurée en place,</t>
  </si>
  <si>
    <t xml:space="preserve"> K30104</t>
  </si>
  <si>
    <t>Pavés joint gazon</t>
  </si>
  <si>
    <t>Entretien de pavés joint gazon, comprenant :
- la tonte de manière à ce que la hauteur soit comprise entre 6 et 9 cm, la coupe sera réglée à 6 cm,
- le ramassage et l'évacuation rapide des produits de fauche à la décharge de l'entreprise.
y compris toutes sujétions.
ce prix s'applique au mètre carré mesuré de surface mesurée en place,</t>
  </si>
  <si>
    <t xml:space="preserve"> K4</t>
  </si>
  <si>
    <t>Entretien des végétaux</t>
  </si>
  <si>
    <t xml:space="preserve"> K401</t>
  </si>
  <si>
    <t>Fourniture et plantation de bulbes comprenant :
- la préparation des bulbes si nécessaire,
- l'implantation des massifs,
- l'acheminement et la mise en place des bulbes,
- la plantation proprement dite,
- le réglage définitif de la surface plantée,
- l'arrosage,
- l'évacuation des contenants,
- la garantie de reprise sur 1 an,
y compris toutes sujétions,</t>
  </si>
  <si>
    <t xml:space="preserve"> J31001</t>
  </si>
  <si>
    <t>Fourniture et plantation de bulbe commun (crocus, allium, anémone)</t>
  </si>
  <si>
    <t>Fourniture et plantation de bulbe commun (crocus, allium, anémone)
Ce prix s'applique à l'unité comptée en place,</t>
  </si>
  <si>
    <t xml:space="preserve"> J31002</t>
  </si>
  <si>
    <t>Fourniture et plantation de Bulbe d'intérêt remarquable (narcisse, scille, fritillaire et variétés peu communes)</t>
  </si>
  <si>
    <t>Fourniture et plantation de Bulbe d'intérêt remarquable (narcisse, scille, fritillaire et variétés peu communes)
Ce prix s'applique à l'unité comptée en place,</t>
  </si>
  <si>
    <t xml:space="preserve"> J4</t>
  </si>
  <si>
    <t>Génie végétale</t>
  </si>
  <si>
    <t xml:space="preserve"> J401</t>
  </si>
  <si>
    <t>Fascinage pour la retenue de berges et talus</t>
  </si>
  <si>
    <t xml:space="preserve"> J40101</t>
  </si>
  <si>
    <t>Fourniture et mise en place de fascine sur berges de rivière, en osier vivant, hauteur hors eau 0,50m</t>
  </si>
  <si>
    <t>Fourniture et mise en place de fascine sur berges de rivière, en osier vivant, hauteur hors eau 0,50m, comprenant :
- l'installation de chantier : une emprise de terrain nécessaire à l'entreprise, la protection du chantier à l'aide d'une clôture (descriptif voir CCTP), l'amenée et le repli des matériels et matériaux, le piquetage et l'implantation des ouvrages,
- la fourniture et pose d'une armature composée d'une ligne de piquets de châtaignier de Ø 6 cm environ et de longueur 150 cm enfoncés d'environ un mètre dans le sol et espacés de 50 cm,
- la fourniture et mise en place d'un tressage en brins de saule (variétés, Ø des brins et leurs longueurs décrits au CCTP), bordure tressée en partie supérieure, finition bordée (type vannerie),
- la fourniture et mise en place d'un haubannage composé d'une ligne de piquets d'ancrage (piquets de fer de Ø 20 mm et de longueur 100 cm entièrement enfoncés dans la berge), la pose de hauban en fil de fer galvanisé N° 16 torsadé, donnant un gite de 5 % à l'ouvrage,
y compris toutes sujétions,
Ce prix s'applique au mètre linéaire, mesuré en place,</t>
  </si>
  <si>
    <t xml:space="preserve"> J40102</t>
  </si>
  <si>
    <t>Fourniture et mise en place de fascine pour retenue de talus, en osier sec désactivé, hauteur hors-sol 0,50 m</t>
  </si>
  <si>
    <t>Canalisations, (y compris tranchée)</t>
  </si>
  <si>
    <t>Fourniture et mise en œuvre de tuyaux en P.E.H.D. Ø 32, 12.5bars bande bleue</t>
  </si>
  <si>
    <t>Fourniture et mise en œuvre de tuyaux en P.E.H.D. Ø 50, 12.5bars bande bleue</t>
  </si>
  <si>
    <t>Fourniture et pose d'une bouche d'arrosage incongelable
avec un clBouches d'arrosages,e : +44€</t>
  </si>
  <si>
    <t>Fourniture d'une console de programmation *</t>
  </si>
  <si>
    <t>Fourniture d'un module radio *</t>
  </si>
  <si>
    <t>Fourniture et pose de programmateur électronique (alimentation 230V) 12 direct°</t>
  </si>
  <si>
    <t>Fourniture et pose de programmateur électronique (alimentation 230V) 24 direct°</t>
  </si>
  <si>
    <t>Fourniture et pose d'une électrovanne 1"""" type 100PGA avec solénoïde24V pour programmateur 230V</t>
  </si>
  <si>
    <t>Fourniture et pose d'une électrovanne 1"""" type 100PGA avec solénoïde 9V pour programmateur Tboss</t>
  </si>
  <si>
    <t>Fourniture et pose d'un programateur type TBoss 2diret°*</t>
  </si>
  <si>
    <t>Fourniture et pose d'arroseur à jet rotatif portée 10m</t>
  </si>
  <si>
    <t>Fourniture et pose d'arroseur à jet rotatif portée 18m</t>
  </si>
  <si>
    <t>Fourniture et pose de Tuyère pour massif fleuri</t>
  </si>
  <si>
    <t>Fourniture et pose de Tuyère pour pelouse</t>
  </si>
  <si>
    <t>Fourniture et pose de tuyaux d'irrigation en polyéthylène PEHD Ø 50, 12.5bars</t>
  </si>
  <si>
    <t>Fourniture et pose de tuyaux d'irrigation en polyéthylène PEHD Ø 32, 12.5bars</t>
  </si>
  <si>
    <t>Fourniture et pose de goutte à goutte enterrable Ø 16 autorégulant</t>
  </si>
  <si>
    <t>Fourniture et pose de fourreau PVC Ø 40</t>
  </si>
  <si>
    <t>Fourniture et pose de fourreau PVC Ø 90</t>
  </si>
  <si>
    <t>Fourniture et pose de regard rectangulaire 30x40cm pour électrovanne</t>
  </si>
  <si>
    <t>Fourniture et pose de regard rond diam 22cm pour électrovanne</t>
  </si>
  <si>
    <t>Fourniture et pose de regard "Jumbo" 50x35cm pour électrovanne</t>
  </si>
  <si>
    <t>Fourniture et plantation d'arbres """"en cépée remontée""""   3 troncs, MG, 150/200
Ce prix s'applique à l'unité comptée en place,</t>
  </si>
  <si>
    <t xml:space="preserve"> J30255</t>
  </si>
  <si>
    <t>Fourniture et plantation d'arbres """"en cépée remontée""""   3 troncs, MG, 250/300</t>
  </si>
  <si>
    <t>Fourniture et plantation d'arbres """"en cépée remontée""""   3 troncs, MG, 250/300
Ce prix s'applique à l'unité comptée en place,</t>
  </si>
  <si>
    <t xml:space="preserve"> J30256</t>
  </si>
  <si>
    <t>Fourniture et plantation d'arbres """"en cépée remontée""""   5 troncs, MG, 150/200</t>
  </si>
  <si>
    <t>Fourniture et plantation d'arbres """"en cépée remontée""""   5 troncs, MG, 150/200
Ce prix s'applique à l'unité comptée en place,</t>
  </si>
  <si>
    <t xml:space="preserve"> J30257</t>
  </si>
  <si>
    <t>Fourniture et plantation d'arbres """"en cépée remontée""""   5 troncs, MG, 250/300</t>
  </si>
  <si>
    <t>Fourniture et plantation d'arbres """"en cépée remontée""""   5 troncs, MG, 250/300
Ce prix s'applique à l'unité comptée en place,</t>
  </si>
  <si>
    <t xml:space="preserve"> J30260</t>
  </si>
  <si>
    <t>Fourniture et plantation d'arbres de formes particulières , """"plateau d'ombrage"""", en 25/30, MG</t>
  </si>
  <si>
    <t>Fourniture et plantation d'arbres de formes particulières , """"plateau d'ombrage"""", en 25/30, MG
Ce prix s'applique à l'unité comptée en place,</t>
  </si>
  <si>
    <t xml:space="preserve"> J30261</t>
  </si>
  <si>
    <t>Fourniture et plantation d'arbres de formes particulières , """"rideau"""", en 25/30, MG</t>
  </si>
  <si>
    <t>Fourniture et pose d' une pyramide de corde, comprenant :
- 1 mât central en acier galvanisé de 6,00m de hauteur,
- le filet en mailles de 44cm, d'emprise au sol sans les fondations 10x10x10m,
- les massifs d' ancrage,
- le montage et la mise sous tension des câbles,
- la plaque avec logo et information sécurité,
- la pose,
- l'évacuation des déblais à la décharge de l'Entreprise,
y compris toutes sujétions.
Ce prix s'applique à l' unité comptée en place,</t>
  </si>
  <si>
    <t xml:space="preserve"> H4</t>
  </si>
  <si>
    <t>Fourniture et pose d' équipements sportifs</t>
  </si>
  <si>
    <t xml:space="preserve"> H40001</t>
  </si>
  <si>
    <t>Fourniture et pose d'un ensemble multisports 24,00x12,00m</t>
  </si>
  <si>
    <t>Fourniture et pose d'un ensemble multisports 24,00x12,00m, comprenant :
- 1 ensemble tout métal, la galvanisation à chaud, avec primaire et peinture par poudrage,
- deux palissades latérales de 1,00m de hauteur,
- 2 portillons,
- 2 frontons de 3,00m de hauteur sur toute la largeur,
- 2 buts de 3,00x2,00m avec cage de but en panneaux métalliques renforcés,
- 2 buts de basket avec déport, panneaux demi-lune, avec paniers et filets chaîne galvanisée,
- la plaque avec logo et information sécurité,
- la pose,
- l'évacuation des déblais à la décharge de l'Entreprise,
y compris toutes sujétions.
Ce prix s'applique à l' unité comptée en place,</t>
  </si>
  <si>
    <t xml:space="preserve"> H40002</t>
  </si>
  <si>
    <t>Fourniture et pose d' un but de basket avec support</t>
  </si>
  <si>
    <t>Fourniture et pose d' un but de basket avec support comprenant :
- le terrassement,
- le support tubulaire galvanisé avec déport, platine pour ancrage dans plots béton,
- le panneau type demi lune avec panier et chaîne galvanisée ,
- la plaque avec logo et information sécurité,
- la pose,
- l'évacuation des déblais à la décharge de l'Entreprise,
y compris toutes sujétions.
Ce prix s'applique à l' unité comptée en place,</t>
  </si>
  <si>
    <t xml:space="preserve"> H40003</t>
  </si>
  <si>
    <t>Fourniture et pose d' une  structure combinée foot-basket</t>
  </si>
  <si>
    <t>Fourniture et plantation de plantes vivaces, graminées, fougères, plantes aquatiques comprenant :
- l'habillage du système racinaire et de la partie aérienne,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3 ans,
y compris toutes sujétions,</t>
  </si>
  <si>
    <t xml:space="preserve"> J30701</t>
  </si>
  <si>
    <t>Fourniture et plantation de plantes vivaces, graminées, fougères, plantes aquatiques, Godet de 9</t>
  </si>
  <si>
    <t>Fourniture et plantation de plantes vivaces, graminées, fougères, plantes aquatiques, Godet de 9
Ce prix s'applique à l'unité comptée en place,</t>
  </si>
  <si>
    <t xml:space="preserve"> J30702</t>
  </si>
  <si>
    <t>Fourniture et plantation de plantes vivaces, graminées, fougères, plantes aquatiques, Conteneur de 1,3 litres</t>
  </si>
  <si>
    <t>Fourniture et plantation de plantes vivaces, graminées, fougères, plantes aquatiques, Conteneur de 1,3 litres
Ce prix s'applique à l'unité comptée en place,</t>
  </si>
  <si>
    <t xml:space="preserve"> J30703</t>
  </si>
  <si>
    <t>Fourniture et plantation de plantes vivaces, graminées, fougères, plantes aquatiques, Conteneur de 3 litres</t>
  </si>
  <si>
    <t>Fourniture et plantation de plantes vivaces, graminées, fougères, plantes aquatiques, Conteneur de 3 litres
Ce prix s'applique à l'unité comptée en place,</t>
  </si>
  <si>
    <t xml:space="preserve"> J30704</t>
  </si>
  <si>
    <t>Fourniture et plantation de plantes vivaces, graminées, fougères, plantes aquatiques, Conteneur de 5 litres</t>
  </si>
  <si>
    <t>Fourniture et plantation de plantes vivaces, graminées, fougères, plantes aquatiques, Conteneur de 5 litres
Ce prix s'applique à l'unité comptée en place,</t>
  </si>
  <si>
    <t xml:space="preserve"> J308</t>
  </si>
  <si>
    <t>Bambous : Fourniture, plantation et garantie de reprise</t>
  </si>
  <si>
    <t>Fourniture d'un abri de jardin, triple, suivant plans et CCTP, comprenant:
- les façades en panneaux de bardage clins en pin traité, lasuré coloris, suivant RAL,
- 1 bandeau périphérique en contre-plaqué de qualité extérieure de 18mm d'épaisseur, lasuré coloris suivant RAL,
- 8 poteaux en pin traité  de section 9x9cm rabotés 4 faces, lasuré coloris suivant RAL, y compris platines de fixation,
- la couverture type bac acier coloris suivant RAL ,
- 2 gouttières et 3 descentes EP en PVC, coloris suivant RAL,
- la quincaillerie galvanisée,
- la livraison à la Ferme des Bois, rue du Professeur Maurice Audin à Rennes,
y compris toutes sujétions.
Ce prix s'applique à l' unité livrée</t>
  </si>
  <si>
    <t xml:space="preserve"> H50204</t>
  </si>
  <si>
    <t>Fourniture d'un abri de jardin quadruple</t>
  </si>
  <si>
    <t>Fourniture d'un abri de jardin, quadruple, suivant plans et CCTP, comprenant:
- les façades en panneaux de bardage clins en pin traité, lasuré coloris, suivant RAL,
- 1 bandeau périphérique en contre-plaqué de qualité extérieure de 18mm d'épaisseur, lasuré coloris suivant RAL,
- 9 poteaux en pin traité  de section 9x9cm rabotés 4 faces, lasuré coloris suivant RAL, y compris platines de fixation,
- la couverture type bac acier coloris suivant RAL ,
- 2 gouttières et 4 descentes EP en PVC, coloris suivant RAL,
- la quincaillerie galvanisée,
- la livraison à la Ferme des Bois, rue du Professeur Maurice Audin à Rennes,
y compris toutes sujétions.
Ce prix s'applique à l' unité livrée</t>
  </si>
  <si>
    <t xml:space="preserve"> H503</t>
  </si>
  <si>
    <t>Fourniture et pose d'abris de jardins</t>
  </si>
  <si>
    <t xml:space="preserve"> H50301</t>
  </si>
  <si>
    <t>Fourniture et pose d'un abri de jardin simple</t>
  </si>
  <si>
    <t>Fourniture et plantation d'arbres de formes particulières , """"rideau"""", en 25/30, MG
Ce prix s'applique à l'unité comptée en place,</t>
  </si>
  <si>
    <t xml:space="preserve"> J30270</t>
  </si>
  <si>
    <t>Fourniture et plantation d'arbres particuliers , """"palmier"""" à 1 stipe, hauteur totale 200/250</t>
  </si>
  <si>
    <t>Fourniture et plantation d'arbres particuliers , """"palmier"""" à 1 stipe, hauteur totale 200/250
Ce prix s'applique à l'unité comptée en place,</t>
  </si>
  <si>
    <t xml:space="preserve"> J30271</t>
  </si>
  <si>
    <t>Fourniture et plantation d'arbres particuliers , """"palmier"""" 1stipe, hauteur totale 300/350</t>
  </si>
  <si>
    <t>Fourniture et plantation d'arbres particuliers , """"palmier"""" 1stipe, hauteur totale 300/350
Ce prix s'applique à l'unité comptée en place,</t>
  </si>
  <si>
    <t xml:space="preserve"> J30272</t>
  </si>
  <si>
    <t>Fourniture et plantation d'arbres particuliers , """"palmier"""" à plusieurs stipes, hauteur totale 125/150</t>
  </si>
  <si>
    <t>Arbustes d'ornement et fruitiers</t>
  </si>
  <si>
    <t xml:space="preserve"> K40201</t>
  </si>
  <si>
    <t>Entretien de plantations arbustives sur feutre biodégradable</t>
  </si>
  <si>
    <t>Entretien de plantations arbustives sur feutre biodégradable, comprenant :
- l'arrosage pendant la saison estivale,
- la taille des branches mortes ou abîmées,
- la taille de formation dans les 3 ans qui suivent la plantation,
- le désherbage manuel 2 fois par an fin juin et à l'automne, et l'évacuation des adventices à la décharge de l'entreprise,
- la vérification de l'état du paillage et les corrections qui s'imposent.
- l'entretien particulier préconisé au CCTP.
y compris toutes sujétions.
ce prix s'applique au mètre carré mesuré de surface mesurée en place,</t>
  </si>
  <si>
    <t xml:space="preserve"> K40202</t>
  </si>
  <si>
    <t>Entretien d'arbustes en massif</t>
  </si>
  <si>
    <t>Entretien d'arbustes en massifs, comprenant :
- l'arrosage pendant la saison estivale,
- la taille des branches mortes ou abîmées,
- la taille de formation dans les 3 ans qui suivent la plantation,
- le désherbage manuel 2 fois par an fin juin et à l'automne, et l'évacuation des adventices à la décharge de l'entreprise,
- la remise en état du paillage éventuel (résidus de broyage,...) et les corrections qui s'imposent.
- l'entretien particulier préconisé au CCTP.
y compris toutes sujétions.
ce prix s'applique au mètre carré traité, mesuré en place,</t>
  </si>
  <si>
    <t xml:space="preserve"> K40203</t>
  </si>
  <si>
    <t>Entretien d'arbuste en isolé</t>
  </si>
  <si>
    <t>Entretien d'arbustes en isolé, comprenant :
- l'arrosage pendant la saison estivale,
- la taille des branches mortes ou abîmées,
- la taille de formation dans les 3 ans qui suivent la plantation,
- le désherbage manuel au pied de l'arbuste, 2 fois par an fin juin et à l'automne, et l'évacuation des adventices à la décharge de l'entreprise,
- la remise en état du paillage éventuel (résidus de broyage,...).
- l'entretien particulier préconisé au CCTP.
y compris toutes sujétions.
Ce prix s'applique à l'unité comptée en place,</t>
  </si>
  <si>
    <t xml:space="preserve"> K40204</t>
  </si>
  <si>
    <t>Entretien de haie taillée sur trois côtés</t>
  </si>
  <si>
    <t>Fauchage de prairie, comprenant :
- le fauchage de prairie effectué après maturité des graines à la fin du mois de juin. La hauteur de coupe sera réglée à + 10 cm par rapport au niveau du sol,
- une deuxième coupe sera effectuée fin septembre si nécessaire Le fauchage sera effectué par temps sec avec le matériel approprié,
- l'ébarbage 2 fois par an le long des allées et au pied du mobilier éventuel,
- le ramassage et l'évacuation rapide des produits de fauche à la décharge de l'entreprise,
- au pied des arbres situés sur la prairie, l'entreprise coupera les bardes de graminées 2 fois par an en veillant à ne pas blesser le tronc des arbres.
y compris toutes sujétions.
ce prix s'applique au mètre carré mesuré de surface mesurée en place,</t>
  </si>
  <si>
    <t xml:space="preserve"> K20202</t>
  </si>
  <si>
    <t>Fauchage de prairie humide</t>
  </si>
  <si>
    <t>Fauchage de prairie humide, comprenant : 
- le fauchage des prairies humides effectué au mois de septembre avec le matériel approprié. La hauteur de coupe sera réglée à + 10 cm par rapport au niveau du sol,
- l'ébarbage 2 fois par an le long des allées et au pied du mobilier éventuel,
- coupe annuelle des pieds de ronce au raz du sol,
- la fauche des stations d'orties une fois par an en fin d'automne,
- la suppression des jeunes plants type POPULUS, SALIX, SAMBUCUS...à l'aide d'une débroussailleuse,
- le ramassage et l'évacuation rapide des produits de fauche à la décharge de l'entreprise.
y compris toutes sujétions.
ce prix s'applique au mètre carré mesuré de surface mesurée en place,</t>
  </si>
  <si>
    <t xml:space="preserve"> K20203</t>
  </si>
  <si>
    <t>Fauchage de prairie sèche</t>
  </si>
  <si>
    <t>Fauchage de prairie sèche, comprenant :
- le fauchage des prairies effectué après maturité des graines à la fin du mois de juin. La hauteur de coupe sera réglée à + 6 cm par rapport au niveau du sol,
- une deuxième coupe sera effectuée fin septembre si nécessaire,
- l'ébarbage le long des allées et au pied du mobilier éventuel,
- le ramassage et l'évacuation rapide des produits de fauche à la décharge de l'entreprise,
- au pied des arbres situés sur la prairie sèche, l'entreprise coupera les bardes de graminées 2 fois par an en veillant à ne pas blesser les troncs
y compris toutes sujétions.
ce prix s'applique au mètre carré mesuré de surface mesurée en place,</t>
  </si>
  <si>
    <t xml:space="preserve"> K203</t>
  </si>
  <si>
    <t>Fauchage d'ourlet herbacé</t>
  </si>
  <si>
    <t xml:space="preserve"> K20301</t>
  </si>
  <si>
    <t>Fourniture et plantation de plantes de terre de bruyère, type """"Camélia"""" Bac  35 L 120/140</t>
  </si>
  <si>
    <t>Fourniture et plantation de plantes de terre de bruyère, type """"Camélia"""" Bac  35 L 120/140 
Ce prix s'applique à l'unité comptée en place,</t>
  </si>
  <si>
    <t xml:space="preserve"> J30623</t>
  </si>
  <si>
    <t>Fourniture et plantation de plantes de terre de bruyère, type """"Camélia"""" Bac  60 L 180/200</t>
  </si>
  <si>
    <t>Fourniture et plantation de plantes de terre de bruyère, type """"Camélia"""" Bac  60 L 180/200 
Ce prix s'applique à l'unité comptée en place,</t>
  </si>
  <si>
    <t xml:space="preserve"> J30630</t>
  </si>
  <si>
    <t>Fourniture et plantation d'arbustes fruitiers en Cont. 5 L,  60/80 7/10 branches
Ce prix s'applique à l'unité comptée en place,</t>
  </si>
  <si>
    <t xml:space="preserve"> J306</t>
  </si>
  <si>
    <t>Plantes de terre de bruyère : Fourniture, plantation et garantie de reprise</t>
  </si>
  <si>
    <t>Fourniture et plantation d'arbustes de terre de bruyère comprenant :
- l'habillage du système racinaire et de la partie aérienne,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1 an,
y compris toutes sujétions,</t>
  </si>
  <si>
    <t xml:space="preserve"> J30601</t>
  </si>
  <si>
    <t>Fourniture et plantation de plantes de terre de bruyère, type """"Bruyères"""" Conteneur 1,3 litres</t>
  </si>
  <si>
    <t>Fourniture et plantation de plantes de terre de bruyère, type """"Bruyères"""" Conteneur 1,3 litres
Ce prix s'applique à l'unité comptée en place,</t>
  </si>
  <si>
    <t xml:space="preserve"> J30602</t>
  </si>
  <si>
    <t>Fourniture et plantation de plantes de terre de bruyère, type """"Bruyères"""" Conteneur 3 litres</t>
  </si>
  <si>
    <t>Fourniture et plantation de plantes de terre de bruyère, type """"Bruyères"""" Conteneur 3 litres
Ce prix s'applique à l'unité comptée en place,</t>
  </si>
  <si>
    <t xml:space="preserve"> J30610</t>
  </si>
  <si>
    <t>Fourniture et plantation de plantes de terre de bruyère, type """"Hortensias"""" Conteneur 3 L 30/40, 3/5 branches</t>
  </si>
  <si>
    <t>Fourniture et plantation de plantes de terre de bruyère, type """"Hortensias"""" Conteneur 3 L 30/40, 3/5 branches
Ce prix s'applique à l'unité comptée en place,</t>
  </si>
  <si>
    <t xml:space="preserve"> J30611</t>
  </si>
  <si>
    <t>Fourniture et plantation de plantes de terre de bruyère, type """"Hortensias"""" Conteneur 3 L 40/60, 5/7 branches</t>
  </si>
  <si>
    <t>Fourniture et plantation de plantes de terre de bruyère, type """"Rhododendrons / Azalées"""" Conteneur 7,5L, 30/40</t>
  </si>
  <si>
    <t>Fourniture et plantation de plantes de terre de bruyère, type """"Rhododendrons / Azalées"""" Conteneur 7,5L, 30/40
Ce prix s'applique à l'unité comptée en place,</t>
  </si>
  <si>
    <t xml:space="preserve"> J30631</t>
  </si>
  <si>
    <t>Fourniture et pose d' un portail à 2 vantaux, type serrurerie, de largeur 2,50m et de hauteur 1,50m</t>
  </si>
  <si>
    <t>Fourniture et pose d' un portail à 2 vantaux (égaux) à barreaudage de largeur 2,50m et de hauteur 1,50m, suivant plans et CCTP, comprenant :
-  le terrassement quelque soit la nature du terrain pour scellement des poteaux,
-  2 poteaux tubulaires carrés, obturés en partie supérieure, scellés dans des massifs béton de 30x30x50cm
-  2 vantaux, chaque vantail étant composés de :
- 2 montants verticaux en tube carré,
- 3 lisses horizontales en fer plein
- de barreaux en fer plein,
- 1 arrêtoir
- 1 groom hydraulique et pivot de sol sur l' un des vantaux,
- 2 panneaux en tôle, en partie inférieure, assemblés aux lisses par cordons de soudure, 1 verrou de sol et 1pivot de sol sur l'un des vantaux,
- la galvanisation à chaud, la mise en peinture par thermolaquage coloris RAL 7026
- la pose, 
- l' évacuation des déblais à la décharge de l'Entreprise,
y compris toutes sujétions. 
Ce prix s'applique à l' unité comptée en place,</t>
  </si>
  <si>
    <t xml:space="preserve"> H10210</t>
  </si>
  <si>
    <t>Ensemencement de prairies par semis manuel (priorité à la flore spontanée) comprenant :
- le piquetage et l'implantation des zones à ensemencer,
- la fourniture de la semence (composition voir CCTP),
- le semis manuel à raison de 0,5 kg à l'are,
- le ratissage léger dans les deux sens pour enfouir les graines avec un roulage à 60-80kg,
- les arrosages nécessaires à la germination,
- l'entretien jusqu'à la première fauche (épierrage et désherbage manuel si besoin) y compris cette fauche, la garantie de bonne levée,
- l'évacuation des produits de fauche à la décharge de l'entreprise,
y compris toutes sujétions,
Ce prix s'applique au mètre carré de surface mesurée en place,</t>
  </si>
  <si>
    <t xml:space="preserve"> I20102</t>
  </si>
  <si>
    <t>Ensemencement de prairies par semis mécanique (priorité à la flore spontanée)</t>
  </si>
  <si>
    <t>Fourniture et plantation de plantes de terre de bruyère, type """"Rhododendrons / Azalées"""" Conteneur 7,5L, 40/60</t>
  </si>
  <si>
    <t>Fourniture et plantation de plantes de terre de bruyère, type """"Rhododendrons / Azalées"""" Conteneur 7,5L, 40/60
Ce prix s'applique à l'unité comptée en place,</t>
  </si>
  <si>
    <t xml:space="preserve"> J30632</t>
  </si>
  <si>
    <t>Fourniture et plantation de plantes de terre de bruyère, type """"Rhododendrons / Azalées"""" Conteneur 10L, 60/80</t>
  </si>
  <si>
    <t>Fourniture et plantation de plantes de terre de bruyère, type """"Rhododendrons / Azalées"""" Conteneur 10L, 60/80
Ce prix s'applique à l'unité comptée en place,</t>
  </si>
  <si>
    <t xml:space="preserve"> J30633</t>
  </si>
  <si>
    <t>Fourniture et plantation de plantes de terre de bruyère, type """"Rhododendrons / Azalées"""" Bac 25L, 80/100</t>
  </si>
  <si>
    <t>Fourniture et plantation de plantes de terre de bruyère, type """"Rhododendrons / Azalées"""" Bac 25L, 80/100
Ce prix s'applique à l'unité comptée en place,</t>
  </si>
  <si>
    <t xml:space="preserve"> J30634</t>
  </si>
  <si>
    <t>Fourniture et plantation de plantes de terre de bruyère, type """"Rhododendrons / Azalées"""" Bac  35L, 100/150</t>
  </si>
  <si>
    <t>Fourniture et plantation de plantes de terre de bruyère, type """"Rhododendrons / Azalées"""" Bac  35L, 100/150
Ce prix s'applique à l'unité comptée en place,</t>
  </si>
  <si>
    <t xml:space="preserve"> J30640</t>
  </si>
  <si>
    <t>Fourniture et plantation de plantes de terre de bruyère, type """"Arbustif """" (Pieris, Hamamelis, Skimmia, Daphné, Magnolia…)"""" Conteneur 3L, 30/40</t>
  </si>
  <si>
    <t>Fourniture et plantation de plantes de terre de bruyère, type """"Arbustif """"(Pieris, Hamamelis, Skimmia, Daphné, Magnolia…)"""" Conteneur 3L, 30/40
Ce prix s'applique à l'unité comptée en place,</t>
  </si>
  <si>
    <t xml:space="preserve"> J30641</t>
  </si>
  <si>
    <t>Fourniture et plantation de plantes de terre de bruyère, type """"Arbustif """"(Pieris, Hamamelis, Skimmia, Daphné, Magnolia…) Conteneur 5L, 40/60</t>
  </si>
  <si>
    <t>Fourniture et plantation de plantes de terre de bruyère, type """"Arbustif """"(Pieris, Hamamelis, Skimmia, Daphné, Magnolia…) Conteneur 5L, 40/60
Ce prix s'applique à l'unité comptée en place,</t>
  </si>
  <si>
    <t xml:space="preserve"> J30642</t>
  </si>
  <si>
    <t>Fourniture et plantation de plantes de terre de bruyère, type """"Arbustif """"(Pieris, Hamamelis, Skimmia, Daphné, Magnolia…) Conteneur 7,5L, 60/80</t>
  </si>
  <si>
    <t>Fourniture et mise en place de clayonnage pour la retenue de talus, en gaulette de châtaignier sec désactivé, hauteur hors-sol 1 m, comprenant :
- l'installation de chantier : une emprise de terrain nécessaire à l'entreprise, la protection du chantier à l'aide d'une clôture (descriptif voir CCTP), l'amenée et le repli des matériels et matériaux, le piquetage et l'implantation des ouvrages,
- la fourniture et pose d'une armature composée d'une ligne de piquets de châtaignier de Ø 6 cm environ et de longueur 200 cm enfoncés d'environ un métre dans le sol et espacés de 100 cm,
- la fourniture et mise en place d'un tressage en gaulette de châtaignier de Ø 20 à 30 mm et d'une longueur de 2,50 m minimum.Les branches de châtaignier auront subi un traitement autoclave,
- la fourniture et mise en place d'un haubannage composé d'une ligne de piquets d'ancrage (piquets de fer de Ø 20 mm et de longueur 100 cm entièrement enfoncés dans le sol), la pose de hauban en fil de fer galvanisé N° 16 torsadé, afin d'assurer une certaine résistance à l'ouvrage,
- la fourniture et mise en place d'une isolation par pose et fixation de Delta MS Ektadrain ou équivalent du côté intérieure du clayonnage faisant office d'isolant,
y compris toutes sujétions,
Ce prix s'applique au mètre linéaire, mesuré en place,</t>
  </si>
  <si>
    <t xml:space="preserve"> J403</t>
  </si>
  <si>
    <t>Bordures de jardin</t>
  </si>
  <si>
    <t xml:space="preserve"> J40301</t>
  </si>
  <si>
    <t>Fourniture et mise en place d'un tissage d'osier désactivé teinté, hauteur hors-sol 0,30 m</t>
  </si>
  <si>
    <t>Fourniture et mise en place de tuteur en bois  Ø 50/70, Hauteur 2,00m comprenant :
- la fourniture du tuteur en châtaignier appointés et écorcés,
- la fourniture de deux colliers afin d'attacher l'arbre au tuteur,
- la mise en place de l'ensemble : enfoncement du tuteur dans le sol, mise en place de l'arbre, fixation des colliers en s'assurant que le tuteur ne touche pas l'arbre,
y compris toutes sujétions,
Ce prix s'applique à l'unité comptée en place,</t>
  </si>
  <si>
    <t xml:space="preserve"> J10102</t>
  </si>
  <si>
    <t>Fourniture et mise en place de tuteur en bois
Ø 50/70, Hauteur 2,50m</t>
  </si>
  <si>
    <t>Fourniture et mise en place de tuteur en bois Ø 50/70, Hauteur 2,50m comprenant :
- la fourniture du tuteur en châtaignier appointés et écorcés,
- la fourniture de deux colliers afin d'attacher l'arbre au tuteur,
- la mise en place de l'ensemble : enfoncement du tuteur dans le sol, mise en place de l'arbre, fixation des colliers en s'assurant que le tuteur ne touche pas l'arbre, 
y compris toutes sujétions,
Ce prix s'applique à l'unité comptée en place,</t>
  </si>
  <si>
    <t xml:space="preserve"> J10103</t>
  </si>
  <si>
    <t>Fourniture et mise en place de tuteur en bois
Ø 50/70, Hauteur 3,00m</t>
  </si>
  <si>
    <t>Fourniture et mise en place de tuteur en bois Ø 50/70, Hauteur 3,00m comprenant :
- la fourniture du tuteur en châtaignier appointés et écorcés,
- la fourniture de deux colliers afin d'attacher l'arbre au tuteur,
- la mise en place de l'ensemble : enfoncement du tuteur dans le sol, mise en place de l'arbre, fixation des colliers en s'assurant que le tuteur ne touche pas l'arbre,
y compris toutes sujétions,
Ce prix s'applique à l'unité comptée en place,</t>
  </si>
  <si>
    <t xml:space="preserve"> J10104</t>
  </si>
  <si>
    <t>Fourniture et mise en place de tuteur en bois
Ø 50/70, Hauteur 3,50m</t>
  </si>
  <si>
    <t>Fourniture et mise en place de tuteur en bois Ø 50/70, Hauteur 3,50m comprenant :
- la fourniture du tuteur en châtaignier appointés et écorcés,
- la fourniture de deux colliers afin d'attacher l'arbre au tuteur,
- la mise en place de l'ensemble : enfoncement du tuteur dans le sol, mise en place de l'arbre, fixation des colliers en s'assurant que le tuteur ne touche pas l'arbre,
y compris toutes sujétions,
Ce prix s'applique à l'unité comptée en place,</t>
  </si>
  <si>
    <t xml:space="preserve"> J10105</t>
  </si>
  <si>
    <t>Fourniture et mise en place d'un tuteurage tripode complet</t>
  </si>
  <si>
    <t>Fourniture et plantation de bambous moyenne végétation , Conteneur 10L, 80/100</t>
  </si>
  <si>
    <t>Fourniture et plantation de bambous moyenne végétation , Conteneur 10L, 80/100
Ce prix s'applique à l'unité comptée en place,</t>
  </si>
  <si>
    <t xml:space="preserve"> J30807</t>
  </si>
  <si>
    <t>Fourniture et plantation de bambous forte végétation , Conteneur 15L, 120/150</t>
  </si>
  <si>
    <t>Fourniture et plantation de plantes de terre de bruyère, type """"Hortensias"""" Conteneur 3 L 40/60, 5/7 branches
Ce prix s'applique à l'unité comptée en place,</t>
  </si>
  <si>
    <t xml:space="preserve"> J30612</t>
  </si>
  <si>
    <t>Entretien de plante grimpante, comprenant :
- le palissage des tiges sur la structure support de la plante grimpante,
- maintien de la croissance du végétal au niveau de la structure,
- le ramassage et l’évacuation des résidus végétaux ligneux ou herbacés
- l'arrosage manuel en quantité suffisante au pied de la plante,
- le ramassage et l'évacuation à la décharge de l'entreprise des résidus végétaux ligneux ou herbacés,
- l'entretien particulier préconisé au CCTP.
y compris toutes sujétions.
Ce prix s'applique à l'unité comptée en place,</t>
  </si>
  <si>
    <t xml:space="preserve"> K40208</t>
  </si>
  <si>
    <t>Entretien d'arbustes de forme particulière """"topiaires"""" et préformés</t>
  </si>
  <si>
    <t>Entretien d'arbustes de forme particulière de type topiaire et préformés, comprenant :
- l'arrosage manuel en quantité suffisante au pied de la plante,
- la taille du végétal aux dimensions définies dans le CCTP,
- le ramassage et l'évacuation à la décharge de l'entreprise des résidus végétaux ligneux ou herbacés,
- l'entretien particulier préconisé au CCTP.
y compris toutes sujétions.
Ce prix s'applique à l'unité comptée en place,</t>
  </si>
  <si>
    <t xml:space="preserve"> K403</t>
  </si>
  <si>
    <t>Plante de terre de bruyère</t>
  </si>
  <si>
    <t xml:space="preserve"> K40301</t>
  </si>
  <si>
    <t>Entretien de massif de terre de bruyère</t>
  </si>
  <si>
    <t>Entretien de massif de terre de bruyère, comprenant : 
- l'arrosage pendant la saison estivale,
- la taille des branches mortes ou abîmées,
- le ramassage et l'évacuation à la décharge de l'entreprise des résidus végétaux ligneux ou herbacés,
- l'entretien particulier préconisé au CCTP.
y compris toutes sujétions.
ce prix s'applique au mètre carré mesuré de surface mesurée en place,</t>
  </si>
  <si>
    <t xml:space="preserve"> K404</t>
  </si>
  <si>
    <t>Plantes vivaces, graminées, fougères, plantes aquatiques</t>
  </si>
  <si>
    <t xml:space="preserve"> K40401</t>
  </si>
  <si>
    <t>Entretien de massif en mélange (plante vivace + fougère + graminée)</t>
  </si>
  <si>
    <t>Entretien de massif en mélange (plante vivace+fougère+graminées), comprenant :
- le désherbage manuel 4 fois par an en mai, juin, juillet et septembre et l'évacuation des adventices à la décharge de l'entreprise,
- la remise en état des massifs exécutée à partir de jeunes plants en motte, conteneur ou godet,
- la taille du végétal à la base en fin d'hiver, la suppression des parties desséchées, la taille de nettoyage ou le maintien du végétal, selon le type du végétal,
- l’arrosage manuel en quantité suffisante au pied de la plante,
- le ramassage et l’évacuation des résidus végétaux herbacés, 
- l'entretien particulier préconisé au CCTP.
y compris toutes sujétions.
ce prix s'applique au mètre carré traité, mesuré en place,</t>
  </si>
  <si>
    <t xml:space="preserve"> K40402</t>
  </si>
  <si>
    <t>Entretien de massif de vivace</t>
  </si>
  <si>
    <t>Entretien de massif de vivaces, comprenant : 
- le désherbage manuel 4 fois par an en mai, juin, juillet et septembre et l'évacuation des adventices à la décharge de l'entreprise,
- la remise en état des massifs à partir de jeunes plants en motte ou en godet,
- la taille du végétal à la base en fin d'hiver, la suppression des parties desséchées, la taille de nettoyage ou le maintien du végétal, selon le type du végétal,
- l’arrosage manuel en quantité suffisante au pied de la plante,
- le ramassage et l’évacuation des résidus végétaux herbacés 
- l'entretien particulier préconisé au CCTP.
y compris toutes sujétions.
ce prix s'applique au mètre carré mesuré de surface mesurée en place,</t>
  </si>
  <si>
    <t xml:space="preserve"> K40403</t>
  </si>
  <si>
    <t>Entretien de massif de graminée</t>
  </si>
  <si>
    <t>Entretien des massif de graminées, comprenant :
- le désherbage manuel 4 fois par an en mai, juin, juillet et septembre et l'évacuation des adventices à la décharge de l'entreprise,
- La taille du végétal à la base en fin d'hiver, selon les préconisations du CCTP,
- la remise en état des massifs exécutée à partir de jeunes plants en motte ou en godet,
- l’arrosage manuel en quantité importante au pied de la plante,
- le ramassage et l’évacuation des résidus végétaux herbacés, 
- l'entretien particulier préconisé au CCTP.
y compris toutes sujétions.
ce prix s'applique au mètre carré traité, mesuré en place,</t>
  </si>
  <si>
    <t xml:space="preserve"> K40404</t>
  </si>
  <si>
    <t>Entretien de massif de fougère</t>
  </si>
  <si>
    <t>Entretien des massif de fougères, comprenant : 
- le désherbage manuel 4 fois par an en mai, juin, juillet et septembre et l'évacuation des adventices à la décharge de l'entreprise,
- la remise en état des massifs exécutée à partir de jeunes plants en motte ou en godet,
- la suppression des parties desséchées (feuilles),
- l’arrosage manuel en quantité suffisante au pied de la plante,
- le ramassage et l’évacuation des résidus végétaux herbacés ,
- l'entretien particulier préconisé au CCTP.
 y compris toutes sujétions.
ce prix s'applique au mètre carré mesuré de surface mesurée en place,</t>
  </si>
  <si>
    <t xml:space="preserve"> K40405</t>
  </si>
  <si>
    <t>Entretien de plante aquatique</t>
  </si>
  <si>
    <t>Entretien de plante aquatique, comprenant : 
- la suppression des plantes indésirables 4 fois par an en mai, juin, juillet et septembre et l'évacuation des adventices à la décharge de l'entreprise,
- la remise en état des massifs exécutée à partir de jeunes plants en motte ou en godet,
- la suppression des feuilles fanées, des parties mortes des plantes,
- la division des touffes trop importantes,
- le ramassage et l’évacuation des résidus végétaux herbacés ,
- la surveillance de la qualité et du niveau de l'eau,
- l'entretien particulier préconisé au CCTP.
 y compris toutes sujétions.
ce prix s'applique au mètre carré mesuré de surface mesurée en place,</t>
  </si>
  <si>
    <t xml:space="preserve"> K405</t>
  </si>
  <si>
    <t>Bambou</t>
  </si>
  <si>
    <t xml:space="preserve"> K40501</t>
  </si>
  <si>
    <t>m3</t>
  </si>
  <si>
    <t>Engazonnement par semis manuel</t>
  </si>
  <si>
    <t>Engazonnement par semis manuel comprenant :
- le piquetage et l'implantation des zones à ensemencer,
- la fourniture de la semence (composition voir CCTP),
- le semis manuel à raison de 35 g au m²,
- la façon de filets,
- le ratissage léger dans les deux sens pour enfouir les graines avec un roulage à 60-80kg,
- les arrosages nécessaires à la germination,
- l'entretien jusqu'à la première tonte (épierrage et désherbage manuel si besoin) y compris cette tonte, la garantie de bonne levée, le resemis des manques,
- l'évacuation des produits de fauche à la décharge de l'entreprise,
y compris toutes sujétions,
Ce prix s'applique au mètre carré de surface mesurée en place,</t>
  </si>
  <si>
    <t xml:space="preserve"> I10102</t>
  </si>
  <si>
    <t>Engazonnement par semis mécanique</t>
  </si>
  <si>
    <t>Engazonnement par semis mécanique comprenant :
- le piquetage et l'implantation des zones à ensemencer,
- la fourniture de la semence (composition voir CCTP),
- le semis mécanique à raison de 35 g au m² à l'aide d'un matériel adapté permettant le ratissage léger afin d'enfouir les graines, et d' assurer un roulage,
- la façon de filets et contre-filets,
- les arrosages nécessaires à la germination,
- l'entretien jusqu'à la première tonte (épierrage et désherbage manuel si besoin) y compris cette tonte, la garantie de bonne levée, le resemis des manques,
- l'évacuation des produits de fauche à la décharge de l'entreprise,
y compris toutes sujétions,
Ce prix s'applique au mètre carré de surface mesurée en place,</t>
  </si>
  <si>
    <t xml:space="preserve"> I102</t>
  </si>
  <si>
    <t>Engazonnement par plaquage</t>
  </si>
  <si>
    <t xml:space="preserve"> I10201</t>
  </si>
  <si>
    <t>Engazonnement par plaquage manuel sur terrain préparé et dressé</t>
  </si>
  <si>
    <t>Fourniture et mise en place de gaine de dissuasion gibier comprenant :
- la fourniture de manchon de protection en plastique de couleur vert foncé, hauteur 0,50m, Ø 30 cm, maille 8mm,
- la mise en place à l'aide de tuteurs bambous (2 ou 3 unités par manchon) décrit au prix J1-04-02,
y compris toutes sujétions,
Ce prix s'applique à l'unité comptée en place,</t>
  </si>
  <si>
    <t xml:space="preserve"> J10402</t>
  </si>
  <si>
    <t>Fourniture et mise en place de tuteur bambous</t>
  </si>
  <si>
    <t>Fourniture et mise en place de tuteur bambous pour gaine de dissuasion gibier comprenant :
- la fourniture de tuteur bambou, hauteur 0,90m, Ø 8/10 mm,
-la mise en place du tuteur bambou avec un enfoncement dans le sol de 0,40m,
y compris toutes sujétions,
Ce prix s'applique à l'unité comptée en place,</t>
  </si>
  <si>
    <t xml:space="preserve"> J10403</t>
  </si>
  <si>
    <t>Fourniture et mise en place de protection des troncs des arbres en natte de jonc, hauteur 2m</t>
  </si>
  <si>
    <t>Fourniture et mise en place de protection des troncs des arbres en natte de jonc comprenant :
- la fourniture de la natte de jonc de type LAPPEN ou équivalente,
- la mise en place de la natte en une seule épaisseur sur l'ensemble du tronc,
y compris toutes sujétions,
Ce prix s'applique à l'unité comptée en place,</t>
  </si>
  <si>
    <t xml:space="preserve"> J10404</t>
  </si>
  <si>
    <t>Fourniture et mise en place de protection des troncs des arbres en natte de bambous, hauteur 2m
- avec corde en fibre de coco</t>
  </si>
  <si>
    <t>Fourniture et mise en place de protection des troncs des arbres en natte de bambous comprenant :
- la fourniture de la natte de bambous de type LAPPEN ou équivalente,
- la fourniture de corde en fibre de coco de type LAPPEN ou équivalente,
- la mise en place de la corde en fibre de coco sur le tronc à 3 niveaux : en haut, au milieu, en bas et ceci avant la fixation de la natte,
- la mise en place de la natte en une seule épaisseur sur les cordes de fibre de coco et recouvrant l'ensemble du tronc,
y compris toutes sujétions,
Ce prix s'applique à l'unité comptée en place,</t>
  </si>
  <si>
    <t xml:space="preserve"> J105</t>
  </si>
  <si>
    <t>Accessoires divers de plantations</t>
  </si>
  <si>
    <t xml:space="preserve"> J10501</t>
  </si>
  <si>
    <t>Fourniture et mise en place d'un système d'irrigation pour arbre</t>
  </si>
  <si>
    <t>Fourniture et mise en place d'un système d'irrigation pour arbre comprenant :
- la fourniture et la mise en place :
- un tuyau de drainage en PVC dur annelé Ø 100, longueur 3,50 m,
- un té en PVC Ø 100,
- un opercule en PVC Ø 100 intérieur,
y compris toutes sujétions,
Ce prix s'applique à l'unité comptée en place,</t>
  </si>
  <si>
    <t xml:space="preserve"> J10502</t>
  </si>
  <si>
    <t>Fourniture et pose de barrières en acier type Barrière de protection piétons</t>
  </si>
  <si>
    <t>Fourniture et pose de barrières en acier type Barrière de protection piétons,
(voir Cahier des Prescriptions Générales de l' Espace Public de la Ville de Rennes, Fiche technique n° S-2), comprenant :
- des éléments de 1,48m de long et de hauteur hors sol 0,90m,
- la galvanisation à chaud, la mise en peinture par thermolaquage coloris RAL 7026 et RAL 1018 à proximité d'écoles,
- la pose par massifs béton, ou carrotage et mortier de ciment,
 y compris toutes sujétions.
Ce prix s'applique à l' unité comptée en place,</t>
  </si>
  <si>
    <t xml:space="preserve"> H20103</t>
  </si>
  <si>
    <t>Fourniture et pose de barrières en acier type Barrière de délimitation</t>
  </si>
  <si>
    <t>Fourniture et pose de barrières en acier type Barrière de délimitation,
(voir Cahier des Prescriptions Générales de l' Espace Public de la Ville de Rennes, Fiche technique n° S-3), comprenant : 
- des éléments de 1,48m de long et de hauteur hors sol 0,90m,
- la galvanisation à chaud, mise en peinture par thermolaquage coloris RAL 7026 et RAL 1018à proximité d' écoles,
- la pose par massifs béton, ou carrotage et mortier de ciment,
 y compris toutes sujétions.
Ce prix s'applique à l' unité comptée en place,</t>
  </si>
  <si>
    <t xml:space="preserve"> H20104</t>
  </si>
  <si>
    <t>Fourniture et pose de barrières en acier type Barrière Bordure espace vert</t>
  </si>
  <si>
    <t>Fourniture et pose de barrières en acier type Barrière Bordure espace vert,
(voir Cahier des Prescriptions Générales de l' Espace Public de la Ville de Rennes, Fiche technique n° S-4), comprenant :
- des éléments de 1,48m de long et de hauteur hors sol 0,355m,
-  la galvanisation à chaud, la mise en peinture par thermolaquage coloris RAL 7026
- la pose par massifs béton,
 y compris toutes sujétions.
Ce prix s'applique à l' unité comptée en place,</t>
  </si>
  <si>
    <t xml:space="preserve"> H20105</t>
  </si>
  <si>
    <t>Fourniture et pose de barrières en acier type Barrière Protection espace vert</t>
  </si>
  <si>
    <t>Transplantation d'arbre jusqu'au Ø 30/35 comprenant :
- les travaux préparatoires : taille des branches, cerclage, dégagement du pied de l'arbre de tous matériaux impropres à la transplantation, préparation du site de replantation (réalisation de la fosse, apport de terre végétale de bonne qualité et amendée correctement : descriptif voir CCTP),
- l'arrachage mécanique et le transport de l' arbre en motte à l'aide d'un matériel (transplanteuse) adapté à la spécificité de l'arbre et du site,
- les travaux de replantation : fourniture et mise en place d'un système d'irrigation, d'un ensemble de haubanage, la replantation de l'arbre, les finitions,
- les travaux de maintenance : arrosage de l' arbre sur une année chaque fois que nécessaire, vérification de la cuvette d'arrosage et du haubanage,
y compris toutes sujétions,
Ce prix s'applique à l'unité comptée en place,</t>
  </si>
  <si>
    <t xml:space="preserve"> J20102</t>
  </si>
  <si>
    <t>Transplantation de conifère jusqu'à la taille 500/550</t>
  </si>
  <si>
    <t>Transplantation de conifère jusqu'à la taille 500/550 comprenant :
- les travaux préparatoires : taille des branches basses si nécessaire, cerclage,dégagement du pied du végétal de tous matériaux impropres à la transplantation, préparation du site de replantation (réalisation de la fosse, apport de terre végétale de bonne qualité et amendée correctement : descriptif voir CCTP),
- l'arrachage mécanique et le transport du conifère en motte à l'aide d'un matériel (transplanteuse) adapté à la spécificité de l'arbre et du site,
- les travaux de replantation : fourniture et mise en place d'un système d'irrigation, d'un ensemble de haubannage, la replantation du sujet, les finitions,
- les travaux de maintenance : arrosage du conifère sur une année chaque fois que nécessaire, vérification de la cuvette d'arrosage et du haubannage,
y compris toutes sujétions,
Ce prix s'applique à l'unité comptée en place,</t>
  </si>
  <si>
    <t xml:space="preserve"> J3</t>
  </si>
  <si>
    <t>Fourniture de végétaux et plantation</t>
  </si>
  <si>
    <t xml:space="preserve"> J301</t>
  </si>
  <si>
    <t>Conifères : Fourniture, plantation et garantie de reprise</t>
  </si>
  <si>
    <t>Fourniture et pose d'un garde-corps inox avec câble marine, suivant plan et CCP, et comprenant :
- des poteaux d' extrémités en inox d'épaisseur 8mm et de hauteur 1,00m avec platines et réservations pour les câbles,
- des poteaux intermédiaires en inox d'épaisseur 8mm et de hauteur 1,00m avec platines et réservations pour les câbles,
- 15 câbles torons inox Ø 6mm et accessoires de tension,
- d' une lisse supérieure en inox de Ø 40mm et d'épaisseur 2mm et occultée aux 2 extrémités
- la pose
y compris toutes sujétions.
Ce prix s'applique à l' unité comptée en place,</t>
  </si>
  <si>
    <t xml:space="preserve"> H202</t>
  </si>
  <si>
    <t>Fourniture et pose de mobilier de propreté et d'hygiène</t>
  </si>
  <si>
    <t xml:space="preserve"> H20201</t>
  </si>
  <si>
    <t>Fourniture et pose de corbeille à papier  type standard en béton moulé</t>
  </si>
  <si>
    <t>Fourniture et pose de corbeille à papier  type standard en béton moulé,
(voir Cahier des Prescriptions Générales de l' Espace Public de la Ville de Rennes: Fiche technique n° P-1), comprenant :
- la corbeille en béton moulé, couvercle tôle coloris RAL 7026,
- la fixation sur socle béton préfabriqué,
y compris toutes sujétions.
Ce prix s'applique à l' unité comptée en place,</t>
  </si>
  <si>
    <t xml:space="preserve"> H20202</t>
  </si>
  <si>
    <t>Fourniture et pose de corbeille à papier  type Ville de Rennes en fonte</t>
  </si>
  <si>
    <t>Fourniture et pose de corbeille à papier  type Ville de Rennes en fonte
(voir  Cahier des Prescriptions Générales de l' Espace Public de la Ville de Rennes: Fiche technique n° P-2), comprenant : 
- la corbeille en fonte avec couvercle,
- le  revêtement de protection résine thermodurcissable coloris RAL 7026
- la fixation dans massif béton
y compris toutes sujétions.
Ce prix s'applique à l' unité comptée en place,</t>
  </si>
  <si>
    <t xml:space="preserve"> H20203</t>
  </si>
  <si>
    <t>Fourniture et pose de corbeille tulipe
( Thabor, Jardins St Georges )</t>
  </si>
  <si>
    <t>Fourniture et plantation de conifères, motte, 150/200
Ce prix s'applique à l'unité comptée en place,</t>
  </si>
  <si>
    <t xml:space="preserve"> J30106</t>
  </si>
  <si>
    <t>Fourniture et plantation de conifères, motte, 200/250</t>
  </si>
  <si>
    <t>Fourniture et plantation de conifères, motte, 200/250
Ce prix s'applique à l'unité comptée en place,</t>
  </si>
  <si>
    <t xml:space="preserve"> J30110</t>
  </si>
  <si>
    <t>Fourniture et plantation de conifères gros sujet, motte grillagée ou bac équivalent, H : 300/350</t>
  </si>
  <si>
    <t>Fourniture et plantation de conifères gros sujet, motte grillagée ou bac équivalent, H : 300/350 
Ce prix s'applique à l'unité comptée en place,</t>
  </si>
  <si>
    <t xml:space="preserve"> J30111</t>
  </si>
  <si>
    <t>Fourniture et plantation de conifères gros sujet, motte grillagée ou bac équivalent, H : 400/450</t>
  </si>
  <si>
    <t>Fourniture et mise en place de fascine pour retenue de talus, en osier sec désactivé, hauteur hors-sol 0,50 m, comprenant :
- l'installation de chantier : une emprise de terrain nécessaire à l'entreprise, la protection du chantier à l'aide d'une clôture (descriptif voir CCTP), l'amenée et le repli des matériels et matériaux, le piquetage et l'implantation des ouvrages,
- la fourniture et pose d'une armature composé d'une ligne de piquets de châtaignier de Ø 6 cm environ et de longueur 150 cm enfoncés d'environ un métre dans le sol et espacés de 50 cm,
- la fourniture et mise en place d'un tressage en brins de saule (variétés, Ø des brins et leurs longueurs décris au CCTP), bordure tressée en partie supérieure, finition bordée (type vannerie).Les branches de saule auront subi un traitement autoclave,
- la fourniture et mise en place d'un haubannage composé d'une ligne de piquets d'ancrage (piquets de fer de Ø 20 mm et de longueur 100 cm entièrement enfoncés dans la berge), la pose de hauban en fil de fer galvanisé N° 16 torsadé, donnant un gite de 5 % à l'ouvrage,
- la fourniture et mise en place d'une isolation par pose et fixation de Delta MS Ektadrain ou équivalent du côté intérieure de la fascine faisant office d'isolateur,
y compris toutes sujétions,
Ce prix s'applique au mètre linéaire, mesuré en place,</t>
  </si>
  <si>
    <t xml:space="preserve"> J40103</t>
  </si>
  <si>
    <t>Fourniture et mise en place de fascine pour retenue de talus, en osier sec désactivé, hauteur hors-sol 1 m</t>
  </si>
  <si>
    <t>Fourniture et mise en place de fascine pour retenue de talus, en osier sec désactivé, hauteur hors-sol 1 m, comprenant :
- l'installation de chantier : une emprise de terrain nécessaire à l'entreprise, la protection du chantier à l'aide d'une clôture (descriptif voir CCTP), l'amenée et le replis des matériels et matériaux, le piquetage et l'implantation des ouvrages,
- la fourniture et pose d'une armature composé d'une ligne de piquets de chataignier de Ø 6 cm environ et de longueur 200 cm enfoncés d'environ un métre dans le sol et espacés de 50 cm,
- la fourniture et mise en place d'un tressage en brins de saule (variétés, Ø des brins et leurs longueurs décrit au CCTP), bordure tressé en partie supérieure, finition bordée (type vannerie).Les branches de saule auront subi un traitement autoclave,
- la fourniture et mise en place d'un haubannage composé d'une ligne de piquets d'ancrage (piquets de fer de Ø 20 mm et de longueur 100 cm entièrement enfoncés dans la berge), la pose de hauban en fil de fer galvanisé N° 16 torsadé, donnant un gite de 5 % à l'ouvrage,
- la fourniture et mise en place d'une isolation par pose et fixation de Delta MS Ektadrain ou équivalent du côté intérieure de la fascine faisant office d'isolateur,
y compris toutes sujétions,
Ce prix s'applique au mètre linéaire, mesuré en place,</t>
  </si>
  <si>
    <t xml:space="preserve"> J402</t>
  </si>
  <si>
    <t>Clayonnage pour la retenue de talus</t>
  </si>
  <si>
    <t xml:space="preserve"> J40201</t>
  </si>
  <si>
    <t>Fourniture et mise en place de clayonnage pour la retenue de talus, en gaulette de châtaignier sec désactivé, hauteur hors-sol 0,50 m</t>
  </si>
  <si>
    <t>Entretien de variété ancienne, comprenant : 
- le désherbage manuel 4 fois par an en mai, juin, juillet et septembre et l'évacuation des adventices à la décharge de l'entreprise,
- la remise en état des massifs 
- la suppression des parties desséchées (fleurs, feuilles)
- la taille de nettoyage 2 fois par an correspondant à la suppression des inflorescences avant l'été et au maintien du volume de la plante à l'automne,
- la taille de formation une fois par an en fin d'hiver,
- l’arrosage manuel en quantité importante au pied de la plante,
- le ramassage et l’évacuation des résidus végétaux ligneux,
- l'entretien du paillage éventuel,
- l'entretien particulier préconisé au CCTP.
 y compris toutes sujétions.
Ce prix s'applique à l'unité comptée en place,</t>
  </si>
  <si>
    <t xml:space="preserve"> K40604</t>
  </si>
  <si>
    <t>Entretien de rosier grimpant</t>
  </si>
  <si>
    <t>Entretien de rosier grimpant, comprenant : 
- la suppression des parties desséchées (fleurs, feuilles)
- la taille de nettoyage 2 fois par an correspondant à la suppression des inflorescences avant l'été et au maintien du volume de la plante à l'automne,
- le palissage des tiges sur la structure support du rosier grimpant,
- maintien de la croissance du végétal au niveau de la structure,
- la taille de formation une fois par an en fin d'hiver,
- l’arrosage manuel en quantité importante au pied de la plante,
- le ramassage et l’évacuation des résidus végétaux ligneux,
- l'entretien du paillage éventuel au pied de la plante,
- l'entretien particulier préconisé au CCTP.
 y compris toutes sujétions.
Ce prix s'applique à l'unité comptée en place,</t>
  </si>
  <si>
    <t xml:space="preserve"> K40605</t>
  </si>
  <si>
    <t>Entretien de rosier tige ou demi-tige</t>
  </si>
  <si>
    <t>Exécution mécanique des terrassements en déblai avec gros engins (pelle mécanique)</t>
  </si>
  <si>
    <t>Transport de matériaux en dehors du chantier distance intra ville</t>
  </si>
  <si>
    <t>Fourniture et plantation d'arbres  tige en  Motte   25/30 de cat. 2
Ce prix s'applique à l'unité comptée en place,</t>
  </si>
  <si>
    <t xml:space="preserve"> J30242</t>
  </si>
  <si>
    <t>Fourniture et plantation d'arbres  tige en  Motte   30/35 de cat. 1</t>
  </si>
  <si>
    <t>Fourniture et plantation d'arbres  tige en  Motte   30/35 de cat. 1
Ce prix s'applique à l'unité comptée en place,</t>
  </si>
  <si>
    <t xml:space="preserve"> J30243</t>
  </si>
  <si>
    <t>Fourniture et plantation d'arbres  tige en  Motte   30/35 de cat. 2</t>
  </si>
  <si>
    <t>Fourniture et plantation d'arbres  tige en  Motte   30/35 de cat. 2
Ce prix s'applique à l'unité comptée en place,</t>
  </si>
  <si>
    <t xml:space="preserve"> J30244</t>
  </si>
  <si>
    <t>Fourniture et plantation d'arbres  tige en  Motte   35/40 de cat. 1</t>
  </si>
  <si>
    <t>Fourniture et plantation d'arbres  tige en  Motte   35/40 de cat. 1
Ce prix s'applique à l'unité comptée en place,</t>
  </si>
  <si>
    <t xml:space="preserve"> J30245</t>
  </si>
  <si>
    <t>Fourniture et plantation d'arbres  tige en  Motte   35/40 de cat. 2</t>
  </si>
  <si>
    <t>Fourniture et plantation d'arbres  tige en  Motte   35/40 de cat. 2
Ce prix s'applique à l'unité comptée en place,</t>
  </si>
  <si>
    <t xml:space="preserve"> J30250</t>
  </si>
  <si>
    <t>Fourniture et plantation d'arbres """"en cépée""""   3 troncs, MG, 150/200</t>
  </si>
  <si>
    <t>Fourniture et plantation d'arbres """"en cépée""""   3 troncs, MG, 150/200
Ce prix s'applique à l'unité comptée en place,</t>
  </si>
  <si>
    <t xml:space="preserve"> J30251</t>
  </si>
  <si>
    <t>Fourniture et plantation d'arbres """"en cépée""""   3 troncs, MG, 250/300</t>
  </si>
  <si>
    <t>Fourniture et plantation d'arbres """"en cépée""""   3 troncs, MG, 250/300
Ce prix s'applique à l'unité comptée en place,</t>
  </si>
  <si>
    <t xml:space="preserve"> J30252</t>
  </si>
  <si>
    <t>Fourniture et plantation d'arbres """"en cépée""""   5 troncs, MG, 150/200</t>
  </si>
  <si>
    <t>Fourniture et plantation d'arbres """"en cépée""""   5 troncs, MG, 150/200
Ce prix s'applique à l'unité comptée en place,</t>
  </si>
  <si>
    <t xml:space="preserve"> J30253</t>
  </si>
  <si>
    <t>Fourniture et plantation d'arbres """"en cépée""""   5 troncs, MG, 250/300</t>
  </si>
  <si>
    <t>Fourniture et plantation d'arbres """"en cépée""""   5 troncs, MG, 250/300
Ce prix s'applique à l'unité comptée en place,</t>
  </si>
  <si>
    <t xml:space="preserve"> J30254</t>
  </si>
  <si>
    <t>Fourniture et plantation d'arbres """"en cépée remontée""""   3 troncs, MG, 150/200</t>
  </si>
  <si>
    <t>Fourniture et pose d'une clôture grillagée simple torsion,galvanisée et plastifiée, haute adhérence de hauteur 1.20 m comprenant :
- le terrassement quelque soit la nature du terrain pour scellement des poteaux,
- les poteaux tubulaires avec capuchon, galvanisés intérieur et extérieur, de longueur 1,70m, plastifié vert RAL 6005,
- le scellement des poteaux dans massifs béton de 30x30x50cm, tous les 2,50m, 
- les poteaux de tension  avec jambes de force au début et à la fin de la clôture, à chaque changement de direction, tous les 50ml en ligne droite,
- le grillage, à mailles de 50mm en losange, en fil dur, Ø 3mm, avec picots en lisière des mailles supérieures, et mailles inférieures de lisière bouclées, plastifié vert RAL 6073
- les fils de tension en fil dur, Ø 3mm, galvanisé plastifié vert RAL 6073 avec tendeurs,
- le raccord entre les poteaux de début et fin et le grillage par barre de tension et fil d' attache,
- la pose,
y compris toutes sujétions, 
- l' évacuation des déblais à la décharge de l'Entreprise.
Ce prix s' applique au mètre linéaire posé et mesuré sur place</t>
  </si>
  <si>
    <t xml:space="preserve"> H10102</t>
  </si>
  <si>
    <t>Fourniture et pose d'une clôture grillagée simple torsion,galvanisée et plastifiée, haute adhérence de hauteur 1.50 m</t>
  </si>
  <si>
    <t>Fourniture et pose de bac en bois pour arbre  sans contre-bac de 1,30x1,30x1,40m</t>
  </si>
  <si>
    <t>Fourniture et pose de bac en bois pour arbre  sans contre-bac de 1,30x1,30x1,40m
(voir  Cahier des Prescriptions Générales de l' Espace Public de la Ville de Rennes: Fiche technique n° E-1), comprenant :
- le bac en bois exotique (Iroco avec certificat de provenance) ou chêne européen,
- les pieds équipés de platine réglable en hauteur
- le revêtement de protection : peinture RAL 7026,
- la  mise en place
y compris toutes sujétions.
Ce prix s'applique à l' unité comptée en place,</t>
  </si>
  <si>
    <t xml:space="preserve"> H20502</t>
  </si>
  <si>
    <t>Fourniture et pose de bac en bois pour arbre  sans contre-bac de 1,00x1,00x1,40m</t>
  </si>
  <si>
    <t>Fourniture et pose de table pique-nique bois avec bancs</t>
  </si>
  <si>
    <t>Fourniture et pose de table pique-nique bois avec bancs
(voir  Cahier des Prescriptions Générales de l' Espace Public de la Ville de Rennes, livret espaces verts: Fiche descriptive n° 5.1) comprenant:
- table de pique-nique en pin traité classe 4,
- Coloris teinte naturelle du bois,
- fixation dans massifs béton de 0,30x0,30x0,50cm,
y compris toutes sujétions.
Ce prix s'applique à l' unité comptée en place,</t>
  </si>
  <si>
    <t xml:space="preserve"> H205</t>
  </si>
  <si>
    <t>Fourniture et pose de mobilier d'embellissement</t>
  </si>
  <si>
    <t xml:space="preserve"> H20501</t>
  </si>
  <si>
    <t>Fourniture et plantation d'arbres particuliers , """"palmier"""" à plusieurs stipes, hauteur totale 125/150
Ce prix s'applique à l'unité comptée en place,</t>
  </si>
  <si>
    <t xml:space="preserve"> J30273</t>
  </si>
  <si>
    <t>Fourniture et plantation d'arbres particuliers , """"palmier"""" à plusieurs stipes, hauteur totale 175/200</t>
  </si>
  <si>
    <t>Fourniture et plantation d'arbres particuliers , """"palmier"""" à plusieurs stipes, hauteur totale 175/200
Ce prix s'applique à l'unité comptée en place,</t>
  </si>
  <si>
    <t xml:space="preserve"> J303</t>
  </si>
  <si>
    <t>Arbres fruitiers : Fourniture, plantation et garantie de reprise</t>
  </si>
  <si>
    <t>Fourniture et plantation d'arbres fruitiers comprenant :
- l'habillage du système racinaire et de la partie aérienne, le pralinage si nécessaire,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1 an,
y compris toutes sujétions,</t>
  </si>
  <si>
    <t xml:space="preserve"> J30301</t>
  </si>
  <si>
    <t>Fourniture et plantation d'arbres  fruitiers en  RN  10/12</t>
  </si>
  <si>
    <t>Fourniture et plantation d'arbres  fruitiers en  RN  10/12
Ce prix s'applique à l'unité comptée en place,</t>
  </si>
  <si>
    <t xml:space="preserve"> J30302</t>
  </si>
  <si>
    <t>Fourniture et plantation d'arbres  fruitiers en  Motte  10/12</t>
  </si>
  <si>
    <t>Fourniture et plantation d'arbres  fruitiers en  Motte  10/12
Ce prix s'applique à l'unité comptée en place,</t>
  </si>
  <si>
    <t xml:space="preserve"> J30303</t>
  </si>
  <si>
    <t>Fourniture et plantation d'arbres  fruitiers en  RN  12/14</t>
  </si>
  <si>
    <t>Fourniture et plantation d'arbres  fruitiers en  Motte  16/18
Ce prix s'applique à l'unité comptée en place,</t>
  </si>
  <si>
    <t xml:space="preserve"> J30310</t>
  </si>
  <si>
    <t>Fourniture et plantation d'arbres  fruitiers  de formes particulières,</t>
  </si>
  <si>
    <t>Fourniture et plantation d'arbres  fruitiers  de formes particulières,
Ce prix s'applique à l'unité comptée en place,</t>
  </si>
  <si>
    <t xml:space="preserve"> J304</t>
  </si>
  <si>
    <t>Arbustes d'ornement, couvres-sol, grimpants, topiaires : Fourniture, plantation et garantie de reprise</t>
  </si>
  <si>
    <t>Fourniture et plantation d'arbustes comprenant :
- l'habillage du système racinaire et de la partie aérienne, le pralinage si nécessaire,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3 ans,
y compris toutes sujétions,
Catégorie 1 : plantes grimpantes communes (chèvrefeuille, lierre, clématite, parthenocissus,...)
Catégorie 2 : plantes grimpantes d'intérêts remarquables (bignone, passiflore, jasmin étoilé, glycine, et variétés peu communes)</t>
  </si>
  <si>
    <t xml:space="preserve"> J30401</t>
  </si>
  <si>
    <t>Fourniture et plantation d'arbustes en jeunes plants à Racine Nue</t>
  </si>
  <si>
    <t>Fourniture et plantation d'arbustes en jeunes plants à Racine Nue
Ce prix s'applique à l'unité comptée en place,</t>
  </si>
  <si>
    <t xml:space="preserve"> J30402</t>
  </si>
  <si>
    <t>Fourniture et plantation d'arbustes en jeunes plants en Godet</t>
  </si>
  <si>
    <t>Fourniture et plantation d'arbustes en jeunes plants en Godet
Ce prix s'applique à l'unité comptée en place,</t>
  </si>
  <si>
    <t xml:space="preserve"> J30403</t>
  </si>
  <si>
    <t>Fourniture et plantation d'arbustes en Conteneur 3L ou Motte 30/40</t>
  </si>
  <si>
    <t>Fourniture et plantation d'arbustes en Conteneur 3L ou Motte 30/40
Ce prix s'applique à l'unité comptée en place,</t>
  </si>
  <si>
    <t xml:space="preserve"> J30404</t>
  </si>
  <si>
    <t>Fourniture et plantation d'arbustes en Conteneur 4L ou Motte 40/60</t>
  </si>
  <si>
    <t>Fourniture et plantation d'arbustes en Conteneur 4L ou Motte 40/60
Ce prix s'applique à l'unité comptée en place,</t>
  </si>
  <si>
    <t xml:space="preserve"> J30405</t>
  </si>
  <si>
    <t>Fourniture et plantation d'arbustes en Conteneur 5L ou Motte 60/80</t>
  </si>
  <si>
    <t>Fourniture et pose d'une grille arbre, type n°2 1,50x1,50m pour voirie lourde
(voir  Cahier des Prescriptions Générales de l' Espace Public de la Ville de Rennes: Fiche technique n° E-2), comprenant :
- le terrassement superficiel,
- la réalisation d'un cadre pour mise en place de la grille,
- la  grille en fonte grise massive, de coloris noir, pour voirie légère avec plaque amovible centrale pour croissance du tronc,
- la pose,
- l' évacuation des déblais à la décharge de l'Entreprise,
y compris toutes sujétions.
Ce prix s'applique à l' unité comptée en place,</t>
  </si>
  <si>
    <t xml:space="preserve"> H20511</t>
  </si>
  <si>
    <t>Fourniture et pose d'une grille arbre, type n°2 de 2,00x2,00m pour voirie légère</t>
  </si>
  <si>
    <t>Fourniture et pose d'une grille arbre, type n°2  2,00x2,00m pour voirie légère
(voir  Cahier des Prescriptions Générales de l' Espace Public de la Ville de Rennes: Fiche technique n° E-2), comprenant :
- le terrassement superficiel,
- la réalisation d'un cadre pour mise en place de la grille,
- la  grille en fonte grise massive, de coloris noir, pour voirie légère avec plaque amovible centrale pour croissance du tronc,
- la pose,
- l' évacuation des déblais à la décharge de l'Entreprise,
y compris toutes sujétions.
Ce prix s'applique à l' unité comptée en place,</t>
  </si>
  <si>
    <t xml:space="preserve"> H20512</t>
  </si>
  <si>
    <t>Fourniture et pose d'une grille arbre, type n°2 de 2,00x2,00m pour voirie lourde</t>
  </si>
  <si>
    <t>Fourniture et pose d'une grille arbre, type n°2  2,00x2,00m pour voirie lourde
(voir  Cahier des Prescriptions Générales de l' Espace Public de la Ville de Rennes: Fiche technique n° E-2), comprenant :
- le terrassement superficiel,
- la réalisation d'un cadre pour mise en place de la grille,
- la  grille en fonte grise massive, de coloris noir, pour voirie lourde avec plaque amovible centrale pour croissance du tronc,
- la pose,
- l' évacuation des déblais à la décharge de l'Entreprise,
y compris toutes sujétions.
Ce prix s'applique à l' unité comptée en place,</t>
  </si>
  <si>
    <t xml:space="preserve"> H3</t>
  </si>
  <si>
    <t>Jeux et équipements sportifs</t>
  </si>
  <si>
    <t xml:space="preserve"> H301</t>
  </si>
  <si>
    <t>Fourniture et pose de jeux unifonctionnel</t>
  </si>
  <si>
    <t xml:space="preserve"> H30101</t>
  </si>
  <si>
    <t>Le fauchage des ourlets herbacés, comprenant :
- le fauchage après maturité des graines. La hauteur de coupe sera réglée à + 10 cm par rapport au niveau du sol. Le fauchage sera effectué par temps sec à la fin du mois de juin (voire juillet), 
- une deuxième coupe en septembre en cas de repousse importante,
- le ramassage et l'évacuation rapide des produits de fauche à la décharge de l'entreprise,
- au pied des arbres et éléments de mobilier, l'entreprise coupera les bardes de graminées 2 fois par an en veillant à ne pas blesser le tronc des arbres
y compris toutes sujétions.
ce prix s'applique au mètre carré mesuré de surface mesurée en place,</t>
  </si>
  <si>
    <t xml:space="preserve"> K20302</t>
  </si>
  <si>
    <t>Fauchage de noue</t>
  </si>
  <si>
    <t>Fauchage de noue, comprenant :
- le fauchage après maturité des graines. La hauteur de coupe sera réglée à + 10 cm par rapport au niveau du sol. Le fauchage sera effectué par temps sec à la fin du mois de juin (ou au mois de juillet), 
- une deuxième coupe en septembre en cas de repousse importante,
- sur les pentes de la noue, la coupe sera plus fréquente (6 fois par an), déclenchement à 12 cm, coupe réglée à 8 cm
- le ramassage et l'évacuation rapide des produits de fauche à la décharge de l'entreprise.
y compris toutes sujétions.
ce prix s'applique au mètre carré mesuré de surface mesurée en place,</t>
  </si>
  <si>
    <t>Fourniture et plantation de conifères gros sujet, motte grillagée ou bac équivalent, H : 400/450 
Ce prix s'applique à l'unité comptée en place,</t>
  </si>
  <si>
    <t xml:space="preserve"> J30112</t>
  </si>
  <si>
    <t>Fourniture et plantation de conifères gros sujet, motte grillagée ou bac équivalent, H : 500/550</t>
  </si>
  <si>
    <t>Fourniture et plantation de conifères gros sujet, motte grillagée ou bac équivalent, H : 500/550 
Ce prix s'applique à l'unité comptée en place,</t>
  </si>
  <si>
    <t xml:space="preserve"> J30120</t>
  </si>
  <si>
    <t>Fourniture et plantation de conifères de forme particulières type PINUS pinea remonté en 20/25, bac 150L</t>
  </si>
  <si>
    <t>Fourniture et plantation de conifères de forme particulières type PINUS pinea remonté en 20/25, bac 150L
Ce prix s'applique à l'unité comptée en place,</t>
  </si>
  <si>
    <t xml:space="preserve"> J30121</t>
  </si>
  <si>
    <t>Fourniture et plantation de conifères de forme particulières type PINUS pinea remonté en 25/30, bac 150L</t>
  </si>
  <si>
    <t>Fourniture et plantation de conifères de forme particulières type PINUS pinea remonté en 25/30, bac 150L
Ce prix s'applique à l'unité comptée en place,</t>
  </si>
  <si>
    <t xml:space="preserve"> J30122</t>
  </si>
  <si>
    <t>Fourniture et plantation de conifères de forme particulières type PINUS pinéa remonté en 30/35, bac 240L</t>
  </si>
  <si>
    <t>Fourniture et plantation de conifères de forme particulières type PINUS pinéa remonté en 30/35, bac 240L
Ce prix s'applique à l'unité comptée en place,</t>
  </si>
  <si>
    <t xml:space="preserve"> J30130</t>
  </si>
  <si>
    <t>Fourniture et plantation de conifères de forme topiaire</t>
  </si>
  <si>
    <t>Fourniture et plantation de conifères de forme topiaire
Ce prix s'applique à l'unité comptée en place,</t>
  </si>
  <si>
    <t xml:space="preserve"> J302</t>
  </si>
  <si>
    <t>Arbres d'ornement : Fourniture, plantation et garantie de reprise</t>
  </si>
  <si>
    <t>Fourniture et plantation d'arbres comprenant :
- l'habillage du système racinaire et de la partie aérienne, le pralinage si nécessaire,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3 ans,
y compris toutes sujétions,
Catégorie 1 : arbres communs (aulne, charme, chêne, érable, platane, marronnier, pyrus, tilleul,...)
Catégorie 2 : arbres d'intérêts remarquables (cornus, houx, magnolia, parrotia, liriodendron, et variétés peu communes)</t>
  </si>
  <si>
    <t xml:space="preserve"> J30201</t>
  </si>
  <si>
    <t>Fourniture et plantation d'arbres en jeunes plants à Racine Nue</t>
  </si>
  <si>
    <t>Fourniture et plantation d'arbres en jeunes plants à Racine Nue
Ce prix s'applique à l'unité comptée en place,</t>
  </si>
  <si>
    <t xml:space="preserve"> J30202</t>
  </si>
  <si>
    <t>Fourniture et plantation d'arbres en jeunes plants en Godet</t>
  </si>
  <si>
    <t>Fourniture et plantation d'arbres en jeunes plants en Godet
Ce prix s'applique à l'unité comptée en place,</t>
  </si>
  <si>
    <t xml:space="preserve"> J30210</t>
  </si>
  <si>
    <t>Fourniture et plantation d'arbres """"ébauche""""  120/150, RN</t>
  </si>
  <si>
    <t>Fourniture et plantation d'arbres """"ébauche""""  120/150, RN
Ce prix s'applique à l'unité comptée en place,</t>
  </si>
  <si>
    <t xml:space="preserve"> J30211</t>
  </si>
  <si>
    <t>Fourniture et plantation d'arbres """"ébauche""""  150/200, RN</t>
  </si>
  <si>
    <t>Fourniture et plantation d'arbres """"ébauche""""  150/200, RN
Ce prix s'applique à l'unité comptée en place,</t>
  </si>
  <si>
    <t xml:space="preserve"> J30220</t>
  </si>
  <si>
    <t>Fourniture et plantation d'arbres """"baliveau""""  200/250, RN</t>
  </si>
  <si>
    <t>Fourniture et plantation d'arbres """"baliveau""""  200/250, RN
Ce prix s'applique à l'unité comptée en place,</t>
  </si>
  <si>
    <t xml:space="preserve"> J30221</t>
  </si>
  <si>
    <t>Fourniture et plantation d'arbres """"baliveau""""  250/300, RN</t>
  </si>
  <si>
    <t>Fourniture et plantation d'arbres """"baliveau""""  250/300, RN
Ce prix s'applique à l'unité comptée en place,</t>
  </si>
  <si>
    <t xml:space="preserve"> J30222</t>
  </si>
  <si>
    <t>Fourniture et plantation d'arbres """"baliveau"""" en touffe forte 300/350, motte</t>
  </si>
  <si>
    <t>Fourniture et plantation d'arbres """"baliveau"""" en touffe forte 300/350, motte
Ce prix s'applique à l'unité comptée en place,</t>
  </si>
  <si>
    <t xml:space="preserve"> J30230</t>
  </si>
  <si>
    <t>Fourniture et plantation d'arbres  tige à Racines Nues 12/14</t>
  </si>
  <si>
    <t>Fourniture et plantation d'arbres  tige à Racines Nues 12/14
Ce prix s'applique à l'unité comptée en place,</t>
  </si>
  <si>
    <t xml:space="preserve"> J30231</t>
  </si>
  <si>
    <t>Fourniture et plantation d'arbres  tige en Conteneur ou Motte   12/14 de cat. 1</t>
  </si>
  <si>
    <t>Fourniture et plantation d'arbres  tige en Conteneur ou Motte   12/14 de cat. 1
Ce prix s'applique à l'unité comptée en place,</t>
  </si>
  <si>
    <t xml:space="preserve"> J30232</t>
  </si>
  <si>
    <t>Fourniture et plantation d'arbres  tige en Conteneur ou Motte   12/14 de cat. 2</t>
  </si>
  <si>
    <t>Fourniture et plantation d'arbres  tige en Conteneur ou Motte   12/14 de cat. 2
Ce prix s'applique à l'unité comptée en place,</t>
  </si>
  <si>
    <t xml:space="preserve"> J30234</t>
  </si>
  <si>
    <t>Fourniture et plantation d'arbres  tige en  Motte   16/18 de cat. 1</t>
  </si>
  <si>
    <t>Fourniture et plantation d'arbres  tige en  Motte   16/18 de cat. 1
Ce prix s'applique à l'unité comptée en place,</t>
  </si>
  <si>
    <t xml:space="preserve"> J30235</t>
  </si>
  <si>
    <t>Fourniture et plantation d'arbres  tige en  Motte   16/18 de cat. 2</t>
  </si>
  <si>
    <t>Fourniture et plantation d'arbres  tige en  Motte   16/18 de cat. 2
Ce prix s'applique à l'unité comptée en place,</t>
  </si>
  <si>
    <t xml:space="preserve"> J30236</t>
  </si>
  <si>
    <t>Fourniture et plantation d'arbres  tige en  Motte   18/20 de cat. 1</t>
  </si>
  <si>
    <t>Fourniture et plantation d'arbres  tige en  Motte   18/20 de cat. 1
Ce prix s'applique à l'unité comptée en place,</t>
  </si>
  <si>
    <t xml:space="preserve"> J30237</t>
  </si>
  <si>
    <t>Fourniture et plantation d'arbres  tige en  Motte   18/20 de cat. 2</t>
  </si>
  <si>
    <t>Fourniture et plantation d'arbres  tige en  Motte   18/20 de cat. 2
Ce prix s'applique à l'unité comptée en place,</t>
  </si>
  <si>
    <t xml:space="preserve"> J30238</t>
  </si>
  <si>
    <t>Fourniture et plantation d'arbres  tige en  Motte   20/25 de cat. 1</t>
  </si>
  <si>
    <t>Fourniture et plantation d'arbres  tige en  Motte   20/25 de cat. 1
Ce prix s'applique à l'unité comptée en place,</t>
  </si>
  <si>
    <t xml:space="preserve"> J30239</t>
  </si>
  <si>
    <t>Fourniture et plantation d'arbres  tige en  Motte   20/25 de cat. 2</t>
  </si>
  <si>
    <t>Fourniture et plantation d'arbres  tige en  Motte   20/25 de cat. 2
Ce prix s'applique à l'unité comptée en place,</t>
  </si>
  <si>
    <t xml:space="preserve"> J30240</t>
  </si>
  <si>
    <t>Fourniture et plantation de plantes de terre de bruyère, type """"Hortensias"""" Conteneur 5 L 60/80, 5/7 branches</t>
  </si>
  <si>
    <t>Fourniture et plantation de plantes de terre de bruyère, type """"Hortensias"""" Conteneur 5 L 60/80, 5/7 branches
Ce prix s'applique à l'unité comptée en place,</t>
  </si>
  <si>
    <t xml:space="preserve"> J30613</t>
  </si>
  <si>
    <t>Fourniture et plantation de plantes de terre de bruyère, type """"Hortensias"""" Conteneur 15 L 80/100, 7-10 branches</t>
  </si>
  <si>
    <t>Fourniture et plantation de plantes de terre de bruyère, type """"Hortensias"""" Conteneur 15 L 80/100, 7-10 branches
Ce prix s'applique à l'unité comptée en place,</t>
  </si>
  <si>
    <t xml:space="preserve"> J30620</t>
  </si>
  <si>
    <t>Fourniture et plantation de plantes de terre de bruyère, type """"Camélia"""" Conteneur 10L 60/80</t>
  </si>
  <si>
    <t>Fourniture et plantation de plantes de terre de bruyère, type """"Camélia"""" Conteneur 10L 60/80
Ce prix s'applique à l'unité comptée en place,</t>
  </si>
  <si>
    <t xml:space="preserve"> J30621</t>
  </si>
  <si>
    <t>Fourniture et plantation de plantes de terre de bruyère, type """"Camélia"""" Bac  20 L 80/100,</t>
  </si>
  <si>
    <t>Fourniture et plantation de plantes de terre de bruyère, type """"Camélia"""" Bac  20 L 80/100, 
Ce prix s'applique à l'unité comptée en place,</t>
  </si>
  <si>
    <t xml:space="preserve"> J30622</t>
  </si>
  <si>
    <t>Fourniture et pose d' une table à pâtés pour bac à sable, comprenant:
- la table de forme circulaire de 0,70m diamètre environ, en contreplaqué inaltérable recouvert en surface d'un film de résine phénolique antidérapante, montée sur un tube en acier galvanisé ancré dans le sol,
Ce prix s'applique à l' unité comptée en place,</t>
  </si>
  <si>
    <t xml:space="preserve"> H302</t>
  </si>
  <si>
    <t>Fourniture et pose de jeux multifonctionnels</t>
  </si>
  <si>
    <t xml:space="preserve"> H30201</t>
  </si>
  <si>
    <t>Fourniture et pose d'une structure de jeux pour petite enfance</t>
  </si>
  <si>
    <t>Fourniture et pose d' une structure de jeux petite enfance, comprenant :
- 1 plate-forme couverte sur piétements bois avec platine de fixation,
- 1 escalier avec mains courantes,
- 1 toboggan,
- la plaque avec logo et information sécurité,
- les ancrages au sol dans massifs béton,
- la pose,
y compris toutes sujétions.
Ce prix s'applique à l' unité comptée en place,</t>
  </si>
  <si>
    <t xml:space="preserve"> H30202</t>
  </si>
  <si>
    <t>Fourniture et pose d' une structure de jeux pour moyenne enfance</t>
  </si>
  <si>
    <t>Fourniture et pose d' une structure de jeux moyenne enfance, comprenant :
- 1 plate-forme couverte sur piétements bois avec platine de fixation,
- 1 échelle d' accès,
- 1 toboggan,
- 1 filet à grimper,
- les ancrages au sol dans massifs béton,
- la plaque avec logo et information sécurité,
- la pose,
y compris toutes sujétions.
Ce prix s'applique à l' unité comptée en place,</t>
  </si>
  <si>
    <t xml:space="preserve"> H30203</t>
  </si>
  <si>
    <t>Fourniture et pose de structure de jeux pour adolescents</t>
  </si>
  <si>
    <t>Fourniture et pose d' une structure de jeux pour adolescents comprenant  :
- 1 plate-forme  sur piétements bois avec platines de fixation,
- 1 échelle souple
- 1filet à grimper
- 1 mur à grimper
- 1structure de glisse..
- les ancrages au sol dans massifs béton,
- la plaque avec logo et information sécurité,
- la pose,
y compris toutes sujétions.
Ce prix s'applique à l' unité comptée en place,</t>
  </si>
  <si>
    <t xml:space="preserve"> H30204</t>
  </si>
  <si>
    <t>Fourniture et pose d' une pyramide de corde</t>
  </si>
  <si>
    <t>Fourniture et pose d'un portail à 2 vantaux à barreaudage de largeur 3,00m et de hauteur 1,53m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l'unité comptée en place,</t>
  </si>
  <si>
    <t xml:space="preserve"> H10133</t>
  </si>
  <si>
    <t>Fourniture et pose d' un portail à 2 vantaux à barreaudage de largeur 3,00m et de hauteur 1,73m</t>
  </si>
  <si>
    <t>Fourniture et pose d'un portail à 2 vantaux à barreaudage de largeur 3,00m et de hauteur 1,73m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l'unité comptée en place,</t>
  </si>
  <si>
    <t xml:space="preserve"> H10134</t>
  </si>
  <si>
    <t>Fourniture et pose d' un portail à 2 vantaux à barreaudage de largeur 3,00m et de hauteur 2,03m</t>
  </si>
  <si>
    <t>Fourniture et pose d' une  structure combinée foot-basket, comprenant :
- le terrassement,
- 1 but de 3,00x2,00m avec cage de but en panneaux métalliques renforcés, scellés dans massifs béton,
- 1 but de basket avec déport, panneaux demi-lune avec panier et filets chaîne galvanisée
- l'ensemble tout métal, la galvanisation à chaud, avec primaire et peinture par poudrage,
- la plaque avec logo et information sécurité,
- la pose,
- l'évacuation des déblais à la décharge de l'Entreprise,
y compris toutes sujétions.
Ce prix s'applique à l' unité comptée en place,</t>
  </si>
  <si>
    <t xml:space="preserve"> H40004</t>
  </si>
  <si>
    <t>Fourniture et pose d' un pare-ballons de hauteur de 6,00m de haut</t>
  </si>
  <si>
    <t>Fourniture et pose d' un pare-ballons de hauteur de 6,00m de haut comprenant:
- le terrassement,
- les poteaux de 90mm de diamètre, ou de section 80x80mm et de 6,00m de hauteur hors sol tous les 5,00m scellés dans des massifs béton de 0,50x0,50x1,00m
- le filet en polyéthylène renforcé contre les UV, mailles de 145x145mm, diamètre du fil 2,5mm ralingué, fixé sur câble en acier galvanisé, plastifié de diamètre 5mm par anneaux brisés
- le filet sera  raccordé dans sa partie basse à la clôture 
- la pose,
- l'évacuation des déblais à la décharge de l'Entreprise,
y compris toutes sujétions.
- Ce prix s'applique au mètre linéaire posé et mesuré sur place</t>
  </si>
  <si>
    <t xml:space="preserve"> H5</t>
  </si>
  <si>
    <t>Equipements divers</t>
  </si>
  <si>
    <t xml:space="preserve"> H502</t>
  </si>
  <si>
    <t>Fourniture d'abris de jardins</t>
  </si>
  <si>
    <t xml:space="preserve"> H50201</t>
  </si>
  <si>
    <t>Fourniture d'un abri de jardin simple</t>
  </si>
  <si>
    <t>Fourniture d'un abri de jardin, simple, suivant plans et CCTP, comprenant:
- les façades en panneaux de bardage clins en pin traité, lasurés coloris, suivant RAL,
- 1 bandeau périphérique en contre-plaqué de qualité extérieure de 18mm d'épaisseur, lasuré coloris suivant RAL,
- 4 poteaux en pin traité  de section 9x9cm rabotés 4 faces, lasuré coloris suivant RAL, y compris platines de fixation,
- la couverture type bac acier coloris suivant RAL ,
- 1 gouttière et 1 descente EP en PVC, coloris suivant RAL
- la quincaillerie galvanisée
- la livraison à la Ferme des Bois, rue du Professeur Maurice Audin à Rennes,
y compris toutes sujétions.
Ce prix s'applique à l' unité livrée</t>
  </si>
  <si>
    <t xml:space="preserve"> H50202</t>
  </si>
  <si>
    <t>Fourniture d'un abri de jardin double</t>
  </si>
  <si>
    <t>Fourniture d'un abri de jardin, double, suivant plans et CCTP, comprenant:
- les façades en panneaux de bardage clins en pin traité, lasuré coloris, suivant RAL,
- 1 bandeau périphérique en contre-plaqué de qualité extérieure de 18mm d'épaisseur, lasuré coloris suivant RAL,
- 6 poteaux en pin traité  de section 9x9cm rabotés 4 faces, lasuré coloris suivant RAL, y compris platines de fixation,
- la couverture type bac acier coloris suivant RAL ,
- 2 gouttières et 2 descentes EP en PVC, coloris suivant RAL,
- la quincaillerie galvanisée,
- la livraison à la Ferme des Bois, rue du Professeur Maurice Audin à Rennes,
y compris toutes sujétions.
Ce prix s'applique à l' unité livrée</t>
  </si>
  <si>
    <t xml:space="preserve"> H50203</t>
  </si>
  <si>
    <t>Fourniture d'un abri de jardin triple</t>
  </si>
  <si>
    <t>Entretien d'arbre de forme particulière, comprenant :
- la suppression des branches abîmées, mortes, et leur évacuation à la décharge de l'entreprise,
- la taille des pousses de faible section une fois par an en période hivernale afin de maintenir le volume et la silhouette de l'arbre de forme particulière (rideau, plateau, têtard,...),
- l'arrosage pendant la saison estivale,
- la réfection des cuvettes d'arrosage,
- la vérification de la bonne stabilité et du parfait aplomb des tuteurs (le maintien ferme et vertical de l’arbre, la bonne fixation des planchettes, la vérification des attaches et divers liens, le remplacement des éléments défaillants),
- l'entretien particulier préconisé au CCTP.
y compris toutes sujétions.
Ce prix s'applique à l'unité comptée en place,</t>
  </si>
  <si>
    <t xml:space="preserve"> K40107</t>
  </si>
  <si>
    <t>Entretien d'arbre fruitier</t>
  </si>
  <si>
    <t>Entretien d'arbre de forme particulière, comprenant :
- la suppression des branches abîmées, mortes, et leur évacuation à la décharge de l'entreprise,
- l'arrosage pendant la saison estivale,
- la réfection des cuvettes d'arrosage,
- la vérification de la bonne stabilité et du parfait aplomb des tuteurs (le maintien ferme et vertical de l’arbre, la bonne fixation des planchettes, la vérification des attaches et divers liens, le remplacement des éléments défaillants),
- la taille de fructification,
- l'entretien particulier préconisé au CCTP.
y compris toutes sujétions.
Ce prix s'applique à l'unité comptée en place,</t>
  </si>
  <si>
    <t xml:space="preserve"> K40108</t>
  </si>
  <si>
    <t>Entretien de haie bocagère</t>
  </si>
  <si>
    <t>Entretien de haie bocagère, comprenant :
- le ramassage des feuilles 3 fois par an correspondant au dénuement des végétaux, soit respectivement : 33%, 50% et 100% des feuilles tombées, exécuté manuellement ou avec des appareils appropriés type appareil soufflant à dos,
- le débroussaillage sera réalisé un fois par an si nécessaire au mois de juin avec du matériel approprié (soumis à l'approbation du maître d'oeuvre),
- les feuilles seront mises en place au pied des plantations,
- l'entretien particulier préconisé au CCTP.
y compris toutes sujétions.
ce prix s'applique au mètre carré de surface mesurée en place,</t>
  </si>
  <si>
    <t xml:space="preserve"> K40109</t>
  </si>
  <si>
    <t>Entretien de boisement sur terrain plat</t>
  </si>
  <si>
    <t>Entretien de boisement sur terrain plat, comprenant :
- l'arrosage pendant la saison estivale,
- la vérification des protections (manchons de dissuasion, protection des troncs),
- le recépage éventuel en période de repos végétatif, de certains végétaux soumis à l'acceptation du maître d'oeuvre,
- le débroussaillage sera réalisé une fois par an au mois de juin avec du matériel approprié (soumis à l'approbation du maître d'oeuvre),
- un deuxième passage sera effectué si nécessaire au mois de septembre,
- l'entretien particulier préconisé au CCTP.
y compris toutes sujétions.
ce prix s'applique au mètre carré mesuré de surface mesurée en place,</t>
  </si>
  <si>
    <t xml:space="preserve"> K40110</t>
  </si>
  <si>
    <t>Entretien de boisement sur terrain en pente</t>
  </si>
  <si>
    <t>Entretien de boisement sur terrain plat, comprenant :
- l'arrosage pendant la saison estivale,
- la vérification des protections (manchons de dissuasion, protection des troncs),
- le recépage éventuel en période de repos végétatif, de certains végétaux soumis à l'acceptation du maître d'oeuvre,
- le débroussaillage sera réalisé une fois par an au mois de juin avec du matériel approprié,
- un deuxième passage sera effectué si nécessaire au mois de septembre,
- l'entretien particulier préconisé au CCTP.
y compris toutes sujétions.
ce prix s'applique au mètre carré traité, mesuré en place,</t>
  </si>
  <si>
    <t xml:space="preserve"> K402</t>
  </si>
  <si>
    <t>Fourniture et mise en place de protection des troncs des arbres en natte de bambous, hauteur 2m</t>
  </si>
  <si>
    <t xml:space="preserve"> J30635</t>
  </si>
  <si>
    <t>Qtité</t>
  </si>
  <si>
    <t>Montant total Euro</t>
  </si>
  <si>
    <t>Montant Fourniture Euro</t>
  </si>
  <si>
    <t>Fourniture et plantation d'arbustes fruitiers en Cont. 5 L,  60/80 7/10 branches</t>
  </si>
  <si>
    <t>Fourniture et pose d'un portillon de largeur 1,25m et de hauteur 1,50m, suivant plans et CCP, comprenant :
- le terrassement quelque soit la nature du terrain pour scellement des poteaux,
- 2 poteaux tubulaires carrés, obturés en partie supérieure, scellés dans des massifs béton de 30x30x50cm,
- 1 vantail de largeur 1,25m composé de :
- 2 montants verticaux en tube carré,
- 3 lisses horizontales en fer plein
- de barreaux en fer plein,
- 2 panneaux en tôle, en partie inférieure, assemblés aux lisses par cordons de soudure,
- d'un groom hydraulique et pivot de sol,
- la galvanisation à chaud, la mise en peinture par thermolaquage coloris RAL 7026
- la pose, 
- l' évacuation des déblais à la décharge de l'Entreprise,
y compris toutes sujétions.
Ce prix s'applique à l' unité comptée en place,</t>
  </si>
  <si>
    <t xml:space="preserve"> H10207</t>
  </si>
  <si>
    <t>Fourniture et pose d' un portail à 2 vantaux, type serrurerie, de largeur 2,50m et de hauteur 1,00m</t>
  </si>
  <si>
    <t>Fourniture et pose d' un portail à 2 vantaux (égaux) à barreaudage de largeur 2,50m et de hauteur 1,00m, suivant plans et CCTP, comprenant :
-  le terrassement quelque soit la nature du terrain pour scellement des poteaux,
-  2 poteaux tubulaires carrés, obturés en partie supérieure, scellés dans des massifs béton de 30x30x50cm
-  2 vantaux, chaque vantail étant composés de :
- 2 montants verticaux en tube carré,
- 2 ou 3 lisses horizontales en fer plein suivant vantail,
- de barreaux en fer plein,
- 1 arrêtoir
- 1 groom hydraulique et pivot de sol sur l' un des vantaux,
- 2 panneaux en tôle, en partie inférieure, assemblés aux lisses par cordons de soudure, 1 verrou de sol et 1pivot de sol sur l'un des vantaux,
- la galvanisation à chaud, la mise en peinture par thermolaquage coloris RAL 7026
- la pose, 
- l' évacuation des déblais à la décharge de l'Entreprise,
y compris toutes sujétions.
Ce prix s'applique à l' unité comptée en place,</t>
  </si>
  <si>
    <t xml:space="preserve"> H10208</t>
  </si>
  <si>
    <t>Fourniture et pose d' un portail à 2 vantaux, type serrurerie, de largeur 2,50m et de hauteur 1,20m</t>
  </si>
  <si>
    <t>Fourniture et pose d' un portail à 2 vantaux (égaux) à barreaudage de largeur 2,50m et de hauteur 1,20m, suivant plans et CCTP, comprenant :
-  le terrassement quelque soit la nature du terrain pour scellement des poteaux,
-  2 poteaux tubulaires carrés, obturés en partie supérieure, scellés dans des massifs béton de 30x30x50cm
-  2 vantaux, chaque vantail étant composés de :
- 2 montants verticaux en tube carré,
- 3 lisses horizontales en fer plein
- de barreaux en fer plein,
- 1 arrêtoir
- 1 groom hydraulique et pivot de sol sur l' un des vantaux,
- 2 panneaux en tôle, en partie inférieure, assemblés aux lisses par cordons de soudure, 1 verrou de sol et 1pivot de sol sur l'un des vantaux,
- la galvanisation à chaud, la mise en peinture par thermolaquage coloris RAL 7026
- la pose, 
- l' évacuation des déblais à la décharge de l'Entreprise,
y compris toutes sujétions.
Ce prix s'applique à l' unité comptée en place,</t>
  </si>
  <si>
    <t xml:space="preserve"> H10209</t>
  </si>
  <si>
    <t>Exécution d'une dalle en béton dosé à 350 kg de ciment (classe du ciment CPJ  CEM II 32,5 ) appelée à recevoir soit du pavage, soit du dallage, comprenant notamment :
- le règlement soigné d' encaissement,
- la fourniture à pied d'oeuvre du béton,
- la mise en place du béton par vibration,
- la fourniture et la mise en place de fourreaux PVC Ø 350 mm pour bouches à clés,
- toutes sujétions de réalisation liées aux joints et au treillis,
- la fourniture et la mise en oeuvre du produit de cure,
- la mise à disposition de coffrages,
y compris toutes sujétions.
Ce prix s'applique au mètre cube de matériaux mis en oeuvre,</t>
  </si>
  <si>
    <t xml:space="preserve"> G3</t>
  </si>
  <si>
    <t>Couche de surface
(non compris couche de fondation)</t>
  </si>
  <si>
    <t xml:space="preserve"> G301</t>
  </si>
  <si>
    <t xml:space="preserve"> G30101</t>
  </si>
  <si>
    <t>Surfaçage d'une surface sablée en sable granitique 0/6,3 ou 0/8, type Quélaron ép.= 2 à 3 cm
Exemple : square Louis Jouvet, Champollion, Touraine,</t>
  </si>
  <si>
    <t>Surfaçage d'une surface sablée en sable granitique 0/6,3 ou 0/8, type Quélaron ép.= 2 à 3 cm comprenant :
- le griffage en surface du sable en place et l'enlèvement des adventices,
- la fourniture du sable à pied d'œuvre,
- son épandage manuel en couche régulière de 2 à 3 cm,
- le cylindrage.
Ce prix s'applique au mètre carré de surface mesurée en place,</t>
  </si>
  <si>
    <t xml:space="preserve"> G30102</t>
  </si>
  <si>
    <t>Surfaçage d'une surface sablée en sable 4/6 ou 4/8 concassé, ép.= 2 à 3 cm, 
Exemple : Parc des Gayeulles</t>
  </si>
  <si>
    <t>Surfaçage d'une surface sablée en sable 4/6 ou 4/8 concassé, ép.= 2 à 3 cm, comprenant :
- le griffage en surface du sable en place et l'enlèvement des adventices,
- la fourniture du sable à pied d'œuvre,
- son épandage manuel en couche régulière de 2 à 3 cm,
- le cylindrage.
Ce prix s'applique au mètre carré de surface mesurée en place,</t>
  </si>
  <si>
    <t xml:space="preserve"> G30103</t>
  </si>
  <si>
    <t>Surfaçage d'une surface sablée en sable 4/6 ou 4/8 alluvionnaire (roulé) ép.= 2 à 3 cm</t>
  </si>
  <si>
    <t>Fourniture et pose d' un portail à 2 vantaux, type serrurerie, de largeur 3,00m et de hauteur 1,00m</t>
  </si>
  <si>
    <t>Ensemencement de prairies par semis mécanique (priorité à la flore spontanée) comprenant :
- le piquetage et l'implantation des zones à ensemencer,
- la fourniture de la semence (composition voir CCTP),
- le semis mécanique à raison de 0,5 kg à l'are à l'aide d'un matériel adapté permettant le ratissage léger afin d'enfouir les graines, et d' assurer un roulage,
- les arrosages nécessaires à la germination,
- l'entretien jusqu'à la première fauche (épierrage et désherbage manuel si besoin) y compris cette fauche, la garantie de bonne levée,
- l'évacuation des produits de fauche à la décharge de l'entreprise,
y compris toutes sujétions,
Ce prix s'applique au mètre carré de surface mesurée en place,</t>
  </si>
  <si>
    <t xml:space="preserve"> I202</t>
  </si>
  <si>
    <t>Ensemencement de talus fleuris</t>
  </si>
  <si>
    <t xml:space="preserve"> I20201</t>
  </si>
  <si>
    <t>Ensemencement de talus fleuris par semis manuel (priorité à la flore spontanée)</t>
  </si>
  <si>
    <t>Ensemencement de talus fleuris par semis manuel (priorité à la flore spontanée) comprenant :
- le piquetage et l'implantation des zones à ensemencer,
- la fourniture de la semence (composition voir CCTP),
- le semis manuel à raison de 0,5 kg à l'are,
- le ratissage léger dans les deux sens pour enfouir les graines avec un roulage à 60-80kg,
- les arrosages nécessaires à la germination,
- l'entretien jusqu'à la première fauche (épierrage et désherbage manuel si besoin) y compris cette fauche, la garantie de bonne levée,
- l'évacuation des produits de fauche à la décharge de l'entreprise,
y compris toutes sujétions,
Ce prix s'applique au mètre carré de surface mesurée en place,</t>
  </si>
  <si>
    <t xml:space="preserve"> I20202</t>
  </si>
  <si>
    <t>Ensemencement de talus par semis mécanique (priorité à la flore spontanée)</t>
  </si>
  <si>
    <t>Ensemencement de talus par semis mécanique (priorité à la flore spontanée) comprenant :
- le piquetage et l'implantation des zones à ensemencer,
- la fourniture de la semence (composition voir CCTP),
- le semis mécanique à raison de 0,5 kg à l'are à l'aide d'un matériel adapté permettant le ratissage léger afin d'enfouir les graines, et d' assurer un roulage,
- les arrosages nécessaires à la germination,
- l'entretien jusqu'à la première fauche (épierrage et désherbage manuel si besoin) y compris cette fauche, la garantie de bonne levée,
- l'évacuation des produits de fauche à la décharge de l'entreprise,
y compris toutes sujétions,
Ce prix s'applique au mètre carré de surface mesurée en place,</t>
  </si>
  <si>
    <t xml:space="preserve"> I203</t>
  </si>
  <si>
    <t>Ensemencement par projection hydraulique</t>
  </si>
  <si>
    <t xml:space="preserve"> I20301</t>
  </si>
  <si>
    <t>Ensemencement par projection hydraulique mécanique</t>
  </si>
  <si>
    <t>Ensemencement par projection hydraulique mécanique comprenant :
- la reconnaissance préalable et contradictoire des lieux,
- le piquetage, l'implantation et la mise en sécurité des zones à ensemencer,
- la fourniture du mélange (semences et matières premières)à utiliser (composition voir CCTP),
- l'ensemencement par projection hydraulique mécanique à l'aide d'un matériel (hydroseeder) adapté à la spécificité du site,
-  la garantie de bonne levée, le réensemencement des manques,
y compris toutes sujétions,
Ce prix s'applique au mètre carré de surface mesurée en place,</t>
  </si>
  <si>
    <t xml:space="preserve"> I3</t>
  </si>
  <si>
    <t>Semis de regarnissage</t>
  </si>
  <si>
    <t xml:space="preserve"> I30001</t>
  </si>
  <si>
    <t>Semis de regarnissage manuel</t>
  </si>
  <si>
    <t>Semis de regarnissage manuel comprenant :
- le griffage de la surface pour ameublissement superficiel et règlement,
- la fourniture de la semence (composition voir CCTP),
- le semis manuel à raison de 35 g au m²,
- le ratissage léger dans les deux sens pour enfouir les graines avec un roulage à 60-80kg,
- les arrosages nécessaires à la germination,
- la garantie de bonne levée,
y compris toutes sujétions,
Ce prix s'applique au mètre carré de surface mesurée en place,</t>
  </si>
  <si>
    <t xml:space="preserve"> I30002</t>
  </si>
  <si>
    <t>Semis de regarnissage mécanique</t>
  </si>
  <si>
    <t>Semis de regarnissage mécanique comprenant :
- le griffage de la surface pour ameublissement superficiel et règlement,
- la fourniture de la semence (composition voir CCTP),
- le semis mécanique à raison de 35 g au m² à l'aide d'un matériel adapté permettant le ratissage léger afin d'enfouir les graines, et d' assurer un roulage,
- les arrosages nécessaires à la germination,
- la garantie de bonne levée,
y compris toutes sujétions,
Ce prix s'applique au mètre carré de surface mesurée en place,</t>
  </si>
  <si>
    <t xml:space="preserve"> J</t>
  </si>
  <si>
    <t>TRAVAUX DE PLANTATIONS</t>
  </si>
  <si>
    <t xml:space="preserve"> J1</t>
  </si>
  <si>
    <t>Accessoires de plantation</t>
  </si>
  <si>
    <t xml:space="preserve"> J101</t>
  </si>
  <si>
    <t>Tuteurage, haubanage, ancrage et palissage de végétaux</t>
  </si>
  <si>
    <t xml:space="preserve"> J10101</t>
  </si>
  <si>
    <t>Fourniture et mise en place de tuteur en bois
Ø 50/70, Hauteur 2,00m</t>
  </si>
  <si>
    <t>Fourniture et pose d'une clôture fixe en pin traité classe 4 de hauteur hors-sol 1,20m par des éléments de 2,00ml</t>
  </si>
  <si>
    <t>Fourniture et plantation de bambous forte végétation , Conteneur 15L, 120/150
Ce prix s'applique à l'unité comptée en place,</t>
  </si>
  <si>
    <t xml:space="preserve"> J30808</t>
  </si>
  <si>
    <t>Fourniture et plantation de bambous forte végétation , Conteneur 30L, 150/200</t>
  </si>
  <si>
    <t>Fourniture et plantation de bambous forte végétation , Conteneur 30L, 150/200
Ce prix s'applique à l'unité comptée en place,</t>
  </si>
  <si>
    <t xml:space="preserve"> J30809</t>
  </si>
  <si>
    <t>Fourniture et plantation de bambous forte végétation , Conteneur 50L, 200/250</t>
  </si>
  <si>
    <t>Fourniture et plantation de bambous forte végétation , Conteneur 50L, 200/250
Ce prix s'applique à l'unité comptée en place,</t>
  </si>
  <si>
    <t xml:space="preserve"> J30810</t>
  </si>
  <si>
    <t>Fourniture et plantation de bambous forte végétation , Conteneur 80L, 250/300</t>
  </si>
  <si>
    <t>Fourniture et plantation de bambous forte végétation , Conteneur 80L, 250/300
Ce prix s'applique à l'unité comptée en place,</t>
  </si>
  <si>
    <t xml:space="preserve"> J309</t>
  </si>
  <si>
    <t>Rosiers : Fourniture, plantation et garantie de reprise</t>
  </si>
  <si>
    <t>Fourniture et plantation de rosiers comprenant :
- l'habillage du système racinaire et de la partie aérienne, le pralinage si nécessaire,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1 an,
y compris toutes sujétions,</t>
  </si>
  <si>
    <t xml:space="preserve"> J30901</t>
  </si>
  <si>
    <t>Fourniture et plantation de rosiers paysagers , """"buisson"""" à RN,</t>
  </si>
  <si>
    <t>Fourniture et plantation de rosiers paysagers , """"buisson"""" à RN,
Ce prix s'applique à l'unité comptée en place,</t>
  </si>
  <si>
    <t xml:space="preserve"> J30902</t>
  </si>
  <si>
    <t>Fourniture et plantation de rosiers paysagers , """"buisson"""", Conteneur 2L</t>
  </si>
  <si>
    <t>Fourniture et plantation de rosiers paysagers , """"buisson"""", Conteneur 2L
Ce prix s'applique à l'unité comptée en place,</t>
  </si>
  <si>
    <t xml:space="preserve"> J30910</t>
  </si>
  <si>
    <t>Fourniture et plantation de rosiers  , """"horticole"""" à RN, 1° choix</t>
  </si>
  <si>
    <t>Fourniture et plantation de rosiers  , """"horticole"""" à RN, 1° choix
Ce prix s'applique à l'unité comptée en place,</t>
  </si>
  <si>
    <t xml:space="preserve"> J30911</t>
  </si>
  <si>
    <t>Fourniture et plantation de rosiers, """"horticole"""", Conteneur 2L</t>
  </si>
  <si>
    <t>Fourniture et plantation de rosiers, """"horticole"""", Conteneur 2L
Ce prix s'applique à l'unité comptée en place,</t>
  </si>
  <si>
    <t xml:space="preserve"> J30920</t>
  </si>
  <si>
    <t>Fourniture et plantation de rosiers  , """"collections ou variétés anciennes"""" à RN, 1° choix</t>
  </si>
  <si>
    <t>Fourniture et plantation de rosiers  , """"collections ou variétés anciennes"""" à RN, 1° choix
Ce prix s'applique à l'unité comptée en place,</t>
  </si>
  <si>
    <t xml:space="preserve"> J30921</t>
  </si>
  <si>
    <t>Fourniture et plantation de rosiers paysagers , """"collections ou variétés anciennes"""", Conteneur 2L</t>
  </si>
  <si>
    <t>Fourniture et plantation de rosiers paysagers , """"collections ou variétés anciennes"""", Conteneur 2L
Ce prix s'applique à l'unité comptée en place,</t>
  </si>
  <si>
    <t xml:space="preserve"> J30930</t>
  </si>
  <si>
    <t>Fourniture et plantation de rosiers  de formes particulières """"grimpant"""", RN</t>
  </si>
  <si>
    <t>Fourniture et plantation de rosiers  de formes particulières """"grimpant"""", RN
Ce prix s'applique à l'unité comptée en place,</t>
  </si>
  <si>
    <t xml:space="preserve"> J30931</t>
  </si>
  <si>
    <t>Fourniture et plantation de rosiers  de formes particulières """"tige"""", RN</t>
  </si>
  <si>
    <t>Fourniture et plantation de rosiers  de formes particulières """"tige"""", RN
Ce prix s'applique à l'unité comptée en place,</t>
  </si>
  <si>
    <t xml:space="preserve"> J30932</t>
  </si>
  <si>
    <t>Fourniture et plantation de rosiers  de formes particulières """"1/2 tige"""", RN</t>
  </si>
  <si>
    <t>Fourniture et plantation de rosiers  de formes particulières """"1/2 tige"""", RN
Ce prix s'applique à l'unité comptée en place,</t>
  </si>
  <si>
    <t xml:space="preserve"> J310</t>
  </si>
  <si>
    <t>Bulbeuses : Fourniture, plantation et garantie de reprise</t>
  </si>
  <si>
    <t>Fourniture et mise en place d'un paillage de feutre 100 % biodégradable en rouleau comprenant :
- la fourniture du produit (composition voir CCTP), 1000gr/m², de type Nat'in ou équivalent,
- l'ouverture et la fermeture des tranchées,
- la mise en place sur un sol bien préparé exempt de motte,
- la fixation des rouleaux bien tendus par un enfouissement latéral dans la terre végétale sur une profondeur ~ 10 cm,
y compris toutes sujétions,
Ce prix s'applique au mètre carré de surface mesurée en place,</t>
  </si>
  <si>
    <t xml:space="preserve"> J10202</t>
  </si>
  <si>
    <t>Fourniture et mise en place d'un paillage de feutre 100 % biodégradable en dalle 50x50</t>
  </si>
  <si>
    <t>Fourniture et mise en place d'un paillage de feutre 100 % biodégradable en dalle 50x50 comprenant :
- la fourniture du produit (composition voir CCTP), 1000gr/m², de type Nat'in ou équivalent,
- la mise en place sur un sol bien préparé exempt de motte,
- la fourniture et la mise en place d'agrafes (4 maximum par dalle),
y compris toutes sujétions,
Ce prix s'applique à l'unité comptée en place,</t>
  </si>
  <si>
    <t xml:space="preserve"> J103</t>
  </si>
  <si>
    <t>Paillage à épandre  pour plantations</t>
  </si>
  <si>
    <t xml:space="preserve"> J10301</t>
  </si>
  <si>
    <t>Fourniture et mise en place d'un paillage pour plantation</t>
  </si>
  <si>
    <t>Fourniture et mise en place d'un paillage pour plantation comprenant:
- la fourniture et la mise en place dans les massifs d'une couche de 8cm de résidus de broyage de calibre 15/25mm, longueur 30/50mm,
- les résidus seront exempts de tous matériaux impropres à la plantation,
y compris toutes sujétions,
Ce prix s'applique au mètre carré de surface mesurée en place,</t>
  </si>
  <si>
    <t xml:space="preserve"> J10302</t>
  </si>
  <si>
    <t>Fourniture et mise en place de sable de Loire</t>
  </si>
  <si>
    <t>Fourniture et mise en place de sable de Loire comprenant :
- la fourniture et la mise en place dans les massifs d'une couche de 8cm de sable de Loire,
- le sable sera exempt de tous matériaux impropres à la plantation,
y compris toutes sujétions,
Ce prix s'applique au mètre carré de surface mesurée en place,</t>
  </si>
  <si>
    <t xml:space="preserve"> J10303</t>
  </si>
  <si>
    <t>Fourniture et mise en place de pouzzolane</t>
  </si>
  <si>
    <t xml:space="preserve"> K20303</t>
  </si>
  <si>
    <t>Fauchage de fossé</t>
  </si>
  <si>
    <t>Fourniture et pose de pergola ,en pin traité de classe 4, suivant plan , de hauteur hors sol jusqu' à 2,30m et de largeur jusqu' à 3,00m, composée de :
- 4 poteaux d' angle et 2 poteaux intermédiaires avec arêtes chanfreinées,  de section 120x120mm, de longueur 2,30 pour fixation par platines ou 2,90m pour scellement dans massifs béton de 30x30x60cm,
- 2 solives avec arêtes chanfreinées de section 120x120m,
- solivettes avec arêtes arrondies de section 120x45mm espacées tous les 40cm environ,
- la pose,
- l' évacuation des déblais à la décharge de l'Entreprise,
y compris toutes sujétions.
Ce prix s'applique à l' unité comptée en place,</t>
  </si>
  <si>
    <t xml:space="preserve"> H10402</t>
  </si>
  <si>
    <t>Fourniture et pose de chicane en bois, poteaux et lisses horizontales en pin traité de classe 4, diamètre des rondins 140mm, hauteur hors sol 0,90m</t>
  </si>
  <si>
    <t>Fourniture et pose de chicane en bois, poteaux et lisses horizontales en pin traité de classe 4, diamètre des rondins: 140mm suivant plans, comprenant : 
- le terrassement quelque soit la nature du terrain pour scellement des poteaux,
- 2 poteaux chanfreinés de Ø 140mm et de 1,30m de longueur scellés dans le sol, dans des massifs béton de 0,30x0,30x0,50,
- 1 lisses chanfreinée de Ø 140mm de longueur variable fixée aux poteaux par visserie électrozinguée,
- la pose,
- l' évacuation des déblais à la décharge de l'Entreprise,
y compris toutes sujétions.
Ce prix s'applique au mètre linéaire posé, mesuré sur place</t>
  </si>
  <si>
    <t xml:space="preserve"> H10403</t>
  </si>
  <si>
    <t>Fourniture et pose de rondins en pin traité classe 4, diamètre des rondins de 140 à 200mm, hauteur hors sol de 0,60m à 0,80m</t>
  </si>
  <si>
    <t>Fourniture et mise en place de pouzzolane comprenant :
- la fourniture et la mise en place dans les massifs d'une couche de 8cm de pouzzolane de calibre 10/20mm,
- la pouzzolane sera exempte de tous matériaux impropres à la plantation,
y compris toutes sujétions,
Ce prix s'applique au mètre carré de surface mesurée en place,</t>
  </si>
  <si>
    <t xml:space="preserve"> J104</t>
  </si>
  <si>
    <t>Protection des plantations</t>
  </si>
  <si>
    <t xml:space="preserve"> J10401</t>
  </si>
  <si>
    <t>Fourniture et mise en place de gaine de dissuasion gibier</t>
  </si>
  <si>
    <t>Fourniture et pose de rondins en pin traité classe 4, diamètre des rondins 140mm, hauteur hors sol de 0,60m à 0,80m, suivant plans, comprenant :
- le terrassement quelque soit la nature du terrain pour scellement des poteaux,
- poteaux chanfreinés de 1,00m, ou 1,20m de longueur, équipés d'une pointe à la base pour scellement dans massifs béton de 0,35x0,35x0,50cm,
- la pose,
- l' évacuation des déblais à la décharge de l'Entreprise,
y compris toutes sujétions.
Ce prix s'applique à l' unité comptée en place,</t>
  </si>
  <si>
    <t xml:space="preserve"> H10404</t>
  </si>
  <si>
    <t>Fourniture et pose de poteaux de jalonnement en pin traité classe 4, rabotés 4 faces de section 140x140mm, finition pointe de diamant , hauteur hors sol 0,90m</t>
  </si>
  <si>
    <t>Fourniture et pose de poteaux de jalonnement en pin traité classe 4, rabotés 4 faces de section 140x140mm, finition pointe de diamant , hauteur hors sol 0,90m, suivant plan, comprenant :
- le terrassement quelque soit la nature du terrain pour scellement des poteaux
- poteaux de 1,30m de longueur scellés dans le sol 
- massifs béton de fondation
- la pose,
- l' évacuation des déblais à la décharge de l'Entreprise,
y compris toutes sujétions.
Ce prix s'applique à l' unité comptée en place,</t>
  </si>
  <si>
    <t xml:space="preserve"> H10409</t>
  </si>
  <si>
    <t xml:space="preserve"> H10410</t>
  </si>
  <si>
    <t xml:space="preserve"> H10411</t>
  </si>
  <si>
    <t xml:space="preserve"> H10412</t>
  </si>
  <si>
    <t xml:space="preserve"> H2</t>
  </si>
  <si>
    <t>Mobilier</t>
  </si>
  <si>
    <t xml:space="preserve"> H201</t>
  </si>
  <si>
    <t>Fourniture et pose de mobilier de protection ( métal et bois)</t>
  </si>
  <si>
    <t xml:space="preserve"> H20101</t>
  </si>
  <si>
    <t>Fourniture et pose de barrières en acier type Barrière Bord de rivière</t>
  </si>
  <si>
    <t>Fourniture et pose de barrières en acier type Barrière bord de rivière,
(voir Cahier des Prescriptions Générales de l' Espace Public de la Ville de Rennes, Fiche technique n° S-1), comprenant : 
- des éléments de 1,48m de long et de hauteur hors sol 0,90m
- la galvanisation à chaud, la mise en peinture par thermolaquage coloris RAL 7026 et RAL 1018 à proximité d'écoles
- la pose par massifs béton, ou carottage et mortier de ciment,    
y compris toutes sujétions.
Ce prix s'applique à l' unité comptée en place,</t>
  </si>
  <si>
    <t xml:space="preserve"> H20102</t>
  </si>
  <si>
    <t>Fourniture et mise en oeuvre d'un revêtement souple coulé en place, type technogomme EPDM ou équivalent pour jeux unifonctionnels</t>
  </si>
  <si>
    <t>Fourniture et mise en oeuvre d'un revêtement souple coulé en place, type technogomme EPDM ou équivalent pour jeux unifonctionnels comprenant :
- la fourniture et mise en œuvre du géotextile, …
- la fourniture et mise en œuvre de la sous-couche amortissante sur une épaisseur prescrite par le fabriquant
- la fourniture et mise en oeuvre de la couche de finition dont le coloris est défini au CCTP, sur une épaisseur prescrite par le fabriquant
Ce matériau devra satisfaire à la norme EN 1176 de novembre 1997.
     - surface &lt; à 50m² : 155€
     - surface de 50 à 100m² : 130€
     - surface de 100 à 150m² : 105€
     - surface &gt; à 150m² : 85€
Ce prix s'applique au mètre carré de surface mesurée en place,</t>
  </si>
  <si>
    <t xml:space="preserve"> G305</t>
  </si>
  <si>
    <t>Fourniture de sable pour bac à sable et fosse de réception</t>
  </si>
  <si>
    <t xml:space="preserve"> G30501</t>
  </si>
  <si>
    <t>Fourniture et mise en œuvre de sable de Loire 0/4 alluvionnaire, roulé, lavé (crèche)</t>
  </si>
  <si>
    <t>Fourniture et mise en œuvre de sable de Loire 0/4 alluvionnaire, roulé, lavé (crèche), comprenant : 
- la fourniture du sable 
- la mise en œuvre,
y compris plus value manuelle et toutes sujétions.
Ce prix s'applique au mètre cube de matériaux mis en oeuvre,</t>
  </si>
  <si>
    <t xml:space="preserve"> G30502</t>
  </si>
  <si>
    <t>Fourniture et mise en œuvre sable 0/4 concassé (sur espace ouvert)</t>
  </si>
  <si>
    <t>Fourniture et mise en œuvre 0/4 concassé (sur espace ouvert), comprenant : 
- la fourniture du sable 
- la mise en œuvre dans le bac du sable, 
y compris plus value manuelle et toutes sujétions.
Ce prix s'applique au mètre cube de matériaux mis en oeuvre,</t>
  </si>
  <si>
    <t xml:space="preserve"> G306</t>
  </si>
  <si>
    <t>Fourniture de copeaux bois pour fosse de réception</t>
  </si>
  <si>
    <t xml:space="preserve"> G30601</t>
  </si>
  <si>
    <t>Fourniture et mise en œuvre de copeaux naturels 5/30mm sans colorant issus de broyage et tamisage de bois non traité type ludosol ou équivalent</t>
  </si>
  <si>
    <t>Fourniture et mise en œuvre de copeaux naturels 5/30mm sans colorant issus de broyage et tamisage de bois non traité type ludosol ou équivalent comprenant : 
- la fourniture des copeaux (conditionnement en Big Bag)
- la mise en œuvre dans la fosse, 
y compris plus value manuelle et toutes sujétions.
Ce prix s'applique au mètre cube de matériaux mis en oeuvre,</t>
  </si>
  <si>
    <t xml:space="preserve"> G4</t>
  </si>
  <si>
    <t>Pavage et dallage</t>
  </si>
  <si>
    <t xml:space="preserve"> G401</t>
  </si>
  <si>
    <t>Pavages en matériaux naturels</t>
  </si>
  <si>
    <t xml:space="preserve"> G40101</t>
  </si>
  <si>
    <t>Fourniture et pose de pavé échantillon 14x20x14 en granit, sur mortier avec la face supérieure grenaillée</t>
  </si>
  <si>
    <t>Fourniture et pose de pavé échantillon 14x20x14 en granit, sur mortier avec la face supérieure grenaillée, comprenant :
 - le règlement soigné de l'encaissement,
 - la fourniture des pavés gris bleuté identique au gris bleuté de Louvigné,
 - le transport,
 - la fourniture  et la mise en œuvre de tous agrégats et du liant. Le mortier sera de type : ciment CPJ CEM II 32,5,
 - la pose des pavés selon calepinage défini par le maître d'oeuvre,
 - le garnissage des joints au mortier de ciment,
 - le nettoyage des pavés,
y compris toutes sujétions.
Ce prix s'applique au mètre carré de surface mesurée en place,</t>
  </si>
  <si>
    <t xml:space="preserve"> G40102</t>
  </si>
  <si>
    <t>Fourniture et pose de pavé mosaïque 10x10x10  en granit, sur mortier avec la face supérieure grenaillée,</t>
  </si>
  <si>
    <t>Fourniture et pose de barrières en acier type Barrière Protection espace vert,
(voir Cahier des Prescriptions Générales de l' Espace Public de la Ville de Rennes, Fiche technique n° S-5), comprenant : 
- des éléments de 1,48m de long et de hauteur hors sol 0,59m,
-  la galvanisation à chaud, la mise en peinture par thermolaquage coloris RAL 7026
- la pose par massifs béton, ou carrotage et mortier de ciment,
 y compris toutes sujétions.
Ce prix s'applique à l' unité comptée en place,</t>
  </si>
  <si>
    <t xml:space="preserve"> H20106</t>
  </si>
  <si>
    <t>Fourniture et pose de  Demi-sphére de stationnement sélectif</t>
  </si>
  <si>
    <t>Fourniture et pose de  Demi-sphére de stationnement sélectif,
voir Cahier des Prescriptions Générales de l' Espace Public de la Ville de Rennes (Fiche technique n° V-15), comprenant :
- des éléments en fonte Ø 300mm,
- coloris RAL 7026,
- la pose: scellement par tiges,
 y compris toutes sujétions.
Ce prix s'applique à l' unité comptée en place,</t>
  </si>
  <si>
    <t xml:space="preserve"> H20107</t>
  </si>
  <si>
    <t>Fourniture et pose de Borne granit de protection</t>
  </si>
  <si>
    <t>Fourniture et pose de Borne granit de protection,
(voir Cahier des Prescriptions Générales de l' Espace Public de la Ville de Rennes, Fiche technique n° S-14), comprenant :
- borne granit  de hauteur hors-sol 0,40m et de section carré 0,18x0,18m
- aspect bouchardé fin ou flammé
- le scellement par béton
 y compris toutes sujétions.
Ce prix s'applique à l' unité comptée en place,</t>
  </si>
  <si>
    <t xml:space="preserve"> H20108</t>
  </si>
  <si>
    <t>Fourniture et pose de Potelet anti stationnement fixe
(potelet à boule)</t>
  </si>
  <si>
    <t>Fourniture et pose de Potelet anti stationnement fixe,
(voir Cahier des Prescriptions Générales de l' Espace Public de la Ville de Rennes, Fiche technique n° S-15), comprenant :
- les potelets acier de hauteur hors sol 0,80m, Ø76mm,
- la galvanisation à chaud,  thermolaquage coloris RAL 7026,
- la fixation dans massifs béton, par carottage et mortier de ciment ou platine vissée
 y compris toutes sujétions.
Ce prix s'applique à l' unité comptée en place,</t>
  </si>
  <si>
    <t xml:space="preserve"> H20109</t>
  </si>
  <si>
    <t>Fourniture et pose de Potelet anti stationnement amovible à clef
(potelet à boule)</t>
  </si>
  <si>
    <t>Fourniture et pose de brique, type PACEMA ou équivalent, posée à plat sur mortier, comprenant :
- la fourniture et la pose des briques sur un lit de mortier de ciment de 4 cm d'épaisseur avec solin,
- la fourniture et la mise en place du mortier,
- la confection des joints au mortier de ciment,
- le nettoyage des briques,
y  compris toutes sujétions.
Ce prix s'applique au mètre carré de surface mesurée en place,</t>
  </si>
  <si>
    <t xml:space="preserve"> G40121</t>
  </si>
  <si>
    <t>Fourniture et pose de brique, type PACEMA ou équivalent, posée sur chant sur mortier</t>
  </si>
  <si>
    <t>Fourniture et mise en place d'un tissage d'osier désactivé teinté, hauteur hors-sol 0,30 m, comprenant :
- l'installation de chantier : une emprise de terrain nécessaire à l'entreprise, la protection du chantier à l'aide d'une clôture (descriptif voir CCTP), l'amenée et le repli des matériels et matériaux, le piquetage et l'implantation des ouvrages,
- la fourniture et pose d'une armature composée d'une ligne de piquets de fer de Ø 20 mm environ et de longueur 70 cm  et espacés de 15 cm sur la ligne,
- la fourniture et mise en place d'un tressage en brins de saule (variétés, Ø des brins et leurs longueurs décris au CCTP), bordure tressé en point de crocane et finition de la partie supérieure tressée,
- la fourniture et mise en place d'une isolation par pose et fixation de Delta MS Ektadrain ou équivalent du côté intérieure de la fascine faisant office d'isolant,
y compris toutes sujétions,
Ce prix s'applique au mètre linéaire, mesuré en place,</t>
  </si>
  <si>
    <t xml:space="preserve"> J404</t>
  </si>
  <si>
    <t>Clôtures végétales en tressage d'osier</t>
  </si>
  <si>
    <t xml:space="preserve"> J40401</t>
  </si>
  <si>
    <t>Fourniture et mise en place d'un tressage à 3 lignes d'osier vert , hauteur hors-sol 1 m</t>
  </si>
  <si>
    <t>Fourniture et mise en place d'une clôture en osier vivant d'une hauteur de 0,80 m comprenant :
- l'installation de chantier : une emprise de terrain nécessaire à l'entreprise, la protection du chantier à l'aide d'une clôture (descriptif voir CCTP), l'amenée et le replis des matériels et matériaux, le piquetage et l'implantation des ouvrages
- la fourniture et pose d'une armature composée d'une ligne de piquets bois en pin traité classe 4, de Ø 7 cm minimum, enfoncé au minimum de 0,70 m dans le sol et espacés tous les 2,50 m maximum, une jambe de force à chaque arrêt et à chaque angle et un fil de fer N° 16 galvanisé avec tendeur galvanisé en partie haute
- la fourniture et mise en place d'un tressage en osier (variété voir CCTP) à trois brins parallèles,bordure tressée en partie supérieure
y compris toutes sujétions.
Ce prix s'applique au mètre linéaire, mesuré en place,</t>
  </si>
  <si>
    <t xml:space="preserve"> K</t>
  </si>
  <si>
    <t>ENTRETIEN DES ESPACES AMENAGES</t>
  </si>
  <si>
    <t xml:space="preserve"> K1</t>
  </si>
  <si>
    <t>Nettoyage</t>
  </si>
  <si>
    <t xml:space="preserve"> K10001</t>
  </si>
  <si>
    <t>Nettoyage du site</t>
  </si>
  <si>
    <t>Nettoyage du site pendant 3 ans, comprenant :
- le ramassage et l'évacuation en décharge des papiers, sacs plastiques, bouteilles, tessons et tout détritus, assuré une fois par semaine et à titre occasionnel si nécessaire.
y compris toutes sujétions.
Ce prix s'applique au forfait réalisé,</t>
  </si>
  <si>
    <t xml:space="preserve"> K2</t>
  </si>
  <si>
    <t>Tontes et fauchages</t>
  </si>
  <si>
    <t xml:space="preserve"> K201</t>
  </si>
  <si>
    <t>Tonte de gazon régulièrement entretenu et d'Evergreen</t>
  </si>
  <si>
    <t xml:space="preserve"> K20101</t>
  </si>
  <si>
    <t>Tonte de gazon régulièrement entretenu</t>
  </si>
  <si>
    <t>Tonte de gazon régulièrement entretenu, comprenant :
- la tonte de manière à ce que la hauteur soit comprise entre 4 et 6 cm, la coupe sera réglée à 3-4 cm,
- l'ébarbage le long des allées et des éléments de mobilier,
- le ramassage et l'évacuation des produits de tonte à la décharge de l'entreprise, si nécessaire,
- le traitement sélectif, si nécessaire,
- la fertilisation, si nécessaire,
- la découpe des bordures 3 fois par an,
- l'arrosage,
- le défeutrage et le regarnissage 1 fois par an,
y compris toutes sujétions.
Ce prix s'applique au mètre carré de surface mesurée en place,</t>
  </si>
  <si>
    <t xml:space="preserve"> K20102</t>
  </si>
  <si>
    <t>Tonte de gazon et d'Evergreen</t>
  </si>
  <si>
    <t>Tonte de gazon et d'Evergreen, comprenant :
- la tonte de manière à ce que la hauteur soit comprise entre 6 et 9 cm, la coupe sera réglée à 6 cm,
- l'ébarbage le long des allées et des éléments de mobilier,
- le ramassage et l'évacuation des produits de tonte à la décharge de l'entreprise, si nécessaire,
y compris toutes sujétions.
ce prix s'applique au mètre carré mesuré de surface mesurée en place,</t>
  </si>
  <si>
    <t xml:space="preserve"> K202</t>
  </si>
  <si>
    <t>Fauchage de prairie</t>
  </si>
  <si>
    <t xml:space="preserve"> K20201</t>
  </si>
  <si>
    <t>Fourniture et pose de panneau accès des parcs aux chiens
voir  Cahier des Prescriptions Générales de l' Espace Public de la Ville de Rennes, livret espaces verts: Fiche descriptive n° 3.5 comprenant:
- panneau de 35x25cm en Komacel ou aluminium à bords tombés
- protection contre les UV et les graffitis
- coloris : lettrage noir sur fond blanc
- fixation: plaque à sceller sur poteaux scellés ou sur façade
Ce prix s'applique à l' unité comptée en place,</t>
  </si>
  <si>
    <t xml:space="preserve"> H204</t>
  </si>
  <si>
    <t>Fourniture et pose de mobilier d'accueil et de confort</t>
  </si>
  <si>
    <t xml:space="preserve"> H20401</t>
  </si>
  <si>
    <t>Fourniture et pose d' un Banc simple métallique</t>
  </si>
  <si>
    <t>Fourniture et pose d' un Banc simple métallique
voir  Cahier des Prescriptions Générales de l' Espace Public de la Ville de Rennes: Fiche technique n° C-1 comprenant:
- banc acier et bois
- la galvanisation à chaud, thermolaquage cloris RAL 7026
- bois exotique lasuré (Iroco ou similaire avec certificat de provenance) ,couleur naturelle
- fixation par scellement dans massifs béton ou sur platines.
Ce prix s'applique à l' unité comptée en place,</t>
  </si>
  <si>
    <t xml:space="preserve"> H20402</t>
  </si>
  <si>
    <t>Fourniture et pose d' un Banc double métallique</t>
  </si>
  <si>
    <t>Fourniture et pose d' un Banc double métallique
(voir  Cahier des Prescriptions Générales de l' Espace Public de la Ville de Rennes: Fiche technique n° C-1) comprenant:
- banc acier et bois,
- la galvanisation à chaud, thermolaquage cloris RAL 7026,
- bois exotique lasuré (Iroco ou similaire avec certificat de provenance) , couleur naturelle,
- fixation par scellement dans massifs béton ou sur platines,
y compris toutes sujétions.
Ce prix s'applique à l' unité comptée en place,</t>
  </si>
  <si>
    <t xml:space="preserve"> H20403</t>
  </si>
  <si>
    <t>Fourniture et pose de banc de parc type Centaure ou équivalent</t>
  </si>
  <si>
    <t>Fourniture et plantation d'arbres  tige en  Motte   25/30 de cat. 1</t>
  </si>
  <si>
    <t>Fourniture et plantation d'arbres  tige en  Motte   25/30 de cat. 1
Ce prix s'applique à l'unité comptée en place,</t>
  </si>
  <si>
    <t xml:space="preserve"> J30241</t>
  </si>
  <si>
    <t>Fourniture et plantation d'arbres  tige en  Motte   25/30 de cat. 2</t>
  </si>
  <si>
    <t>Fourniture et pose de dalle en gravillons lavés sur chape mortier</t>
  </si>
  <si>
    <t>Fourniture et pose de dalle en gravillons lavés sur chape mortier, comprenant :
- la fourniture des dalles en gravillons lavés,
- le transport,
- le déchargement,    
- le règlement soigné de la forme,
- la fourniture et la mise en place du mortier,
- les découpes éventuelles,
- la pose des dalles avec barbotine,
- la réalisation des joints,
y compris toutes sujétions.
Ce prix s'applique au mètre carré de surface mesurée en place,</t>
  </si>
  <si>
    <t xml:space="preserve"> G40502</t>
  </si>
  <si>
    <t>Fourniture et pose de dalle alvéolée en polyéthylène pour gazon renforcé</t>
  </si>
  <si>
    <t>Fourniture et pose de dalle alvéolée en polyéthylène pour gazon renforcé, comprenant :
- le règlement soigné de la forme,
- la fourniture et mise en oeuvre sur 5cm de sable
- la pose des dalles alvéolées
- la fourniture et mise en œuvre du substrat (TV + terreau),
- l'ensemencement à raison de 30 à 35 g/m² selon spécifications et le surfaçage des graines,
- le cylindrage,
y compris toutes sujétions.
Ce prix s'applique au mètre carré de surface mesurée en place,</t>
  </si>
  <si>
    <t xml:space="preserve"> G406</t>
  </si>
  <si>
    <t>Dallages en matériaux de synthèse
(dalles souples, dalles en polyéthylène,  …)</t>
  </si>
  <si>
    <t xml:space="preserve"> G40601</t>
  </si>
  <si>
    <t>Fourniture et pose de dalles souples pour jeux unifonctionnels</t>
  </si>
  <si>
    <t>Fourniture et pose de dalles souples pour jeux unifonctionnels, comprenant :
- la fourniture des dalles selon les dimensions définies par le maître d'oeuvre,
- la fourniture et mise en oeuvre de la colle selon recommandations du fournisseur,
- la découpe des dalles,
- à l'issue de la pose, tests HIC avec fourniture du rapport.
Ce prix s'applique au mètre carré de surface mesurée en place,</t>
  </si>
  <si>
    <t xml:space="preserve"> G40602</t>
  </si>
  <si>
    <t>Fourniture et pose de dalles souples pour jeux multifonctionnels</t>
  </si>
  <si>
    <t>Fourniture et pose d'une clôture grillagée simple torsion,galvanisée et plastifiée, haute adhérence de hauteur 1.20 m</t>
  </si>
  <si>
    <t>Exécution mécanique des terrassements en déblai avec gros engins comprenant : 
- les piquetages complémentaires,
- la protection contre les eaux de toutes natures pendant l'exécution des déblais,
- l'extraction des terres,
- l'exécution  des purges,
- la mise en dépôt provisoire des déblais excédentaires à l'intérieur du chantier,
y compris toutes sujétions.
Ce prix s'applique au mètre cube de matériaux mesuré en place,</t>
  </si>
  <si>
    <t xml:space="preserve"> C10103</t>
  </si>
  <si>
    <t>Exécution mécanique des terrassements en déblai  avec petits engins</t>
  </si>
  <si>
    <t>Exécution mécanique des terrassements en déblai  avec petits engins comprenant : 
- les piquetages complémentaires,
- la protection contre les eaux de toutes natures pendant l'exécution des déblais,
- l'extraction des terres,
- l'exécution  des purges,
- la mise en dépôt provisoire des déblais excédentaires à l'intérieur du chantier,
y compris toutes sujétions.
Ce prix s'applique au mètre cube de matériaux mesuré en place,</t>
  </si>
  <si>
    <t xml:space="preserve"> C10104</t>
  </si>
  <si>
    <t>Fourniture et mise en œuvre de remblai avec gros engins</t>
  </si>
  <si>
    <t>Réalisation d'un couronnement de muret en pierre, largeur entre 0,30 et 0,50m comprenant :
- La présentation au maître d'œuvre de plusieurs échantillons de la pierre pour validation,
- la fourniture et la mise en œuvre des pierres,
- le scellement au mortier, des pierres de couronnement  .
- le respect des détails de calepinage (voir carnet de détails),
- la confection des joints plats au mortier de ciment ,
- le nettoyage de la laitance des joints,
y compris toutes sujétions.
Ce prix s'applique au mètre cube de matériau mesuré en place,</t>
  </si>
  <si>
    <t xml:space="preserve"> F20604</t>
  </si>
  <si>
    <t>Réalisation d'un couronnement de muret en béton, largeur entre 0,30et 0,50m</t>
  </si>
  <si>
    <t>Réalisation d'un couronnement de muret en béton, largeur entre 0,30 et 0,50m comprenant :
- La réalisation d'un coffrage,
- la mise en œuvre du béton dosé à 350kg/m3,
- le respect des détails ( voir carnet )
- la dépose du coffrage après séchage,
- la réalisation d' un glacis,
y compris toutes sujétions.
Ce prix s'applique au mètre cube de matériau mesuré en place,</t>
  </si>
  <si>
    <t>Fourniture et pose de bac en bois pour arbre  sans contre-bac de 1,00x1,00x1,40m
(voir  Cahier des Prescriptions Générales de l' Espace Public de la Ville de Rennes: Fiche technique n° E-1), comprenant : 
- le bac en bois exotique (Iroco avec certificat de provenance) ou chêne européen,
- les pieds équipés de platine réglable en hauteur
- le revêtement de protection : peinture RAL 7026,
- la mise en place
y compris toutes sujétions.
Ce prix s'applique à l' unité comptée en place,</t>
  </si>
  <si>
    <t xml:space="preserve"> H20503</t>
  </si>
  <si>
    <t>Fourniture et pose de contre-bac acier pour bac de 1,30x1,30x1,40m</t>
  </si>
  <si>
    <t>Fourniture et pose de contre-bac acier pour bac de 1,30x1,30x1,40m en acier galvanisé, comprenant :
- la cuve de dimensions adaptées au bac pour une manipulation aisée, avec 4 crochets de levage,
- un trop plein en fonde de cuve composé d'un tube métallique galvanisé de Ø30mm avec crépine soudée au tube,
- une réservation dans un angle pour mise en œuvre d'une canalisation d'eau,
- un complexe drainant en fond de cuve composé d'une plaque de polystyrène cannelée de 4cm d'épaisseur, et d'une feutrine fixée à sa périphérie et agrafée aux parois de la cuve,
Ce prix s'applique à l' unité comptée en place,</t>
  </si>
  <si>
    <t xml:space="preserve"> H20504</t>
  </si>
  <si>
    <t>Fourniture et pose de contre-bac acier pour bac de 1,00x1,00x1,40m</t>
  </si>
  <si>
    <t>Fourniture et pose de contre-bac acier pour bac de 1,00x1,00x1,40m en acier galvanisé, comprenant :
- la cuve de dimensions adaptées au bac pour une manipulation aisée, avec 4 crochets de levage,
- un trop plein en fond de cuve composé d'un tube métallique galvanisé de Ø 30mm avec crépine soudée au tube,
- une réservation dans un angle pour mise en œuvre d'une canalisation d'eau,
- un complexe drainant en fond de cuve composé d'une plaque de polystyrène cannelée de 4cm d'épaisseur, et d'une feutrine fixée à sa périphérie et agrafée aux parois de la cuve,
Ce prix s'applique à l' unité comptée en place,</t>
  </si>
  <si>
    <t xml:space="preserve"> H20505</t>
  </si>
  <si>
    <t>Fourniture et pose d'une grille arbre, type n°1 de 1,50x1,50m pour voirie légère</t>
  </si>
  <si>
    <t>Fourniture et pose d'une grille arbre, type n°1 1,50x1,50m pour voirie légère
(voir  Cahier des Prescriptions Générales de l' Espace Public de la Ville de Rennes: Fiche technique n° E-2), comprenant :
- le terrassement superficiel,
- la réalisation d'un cadre pour mise en place de la grille,
- la  grille en fonte grise massive, de coloris noir, pour voirie légère avec plaque amovible centrale pour croissance du tronc,
- la pose,
- l' évacuation des déblais à la décharge de l'Entreprise,
y compris toutes sujétions.
Ce prix s'applique à l' unité comptée en place,</t>
  </si>
  <si>
    <t xml:space="preserve"> H20506</t>
  </si>
  <si>
    <t>Fourniture et pose d'une grille arbre, type n°1 de 1,50x1,50m pour voirie lourde</t>
  </si>
  <si>
    <t>Fourniture et pose d'une grille arbre, type n°1 1,50x1,50m pour voirie lourde
(voir  Cahier des Prescriptions Générales de l' Espace Public de la Ville de Rennes: Fiche technique n° E-2), comprenant :
- le terrassement superficiel,
- la réalisation d'un cadre pour mise en place de la grille,
- la  grille en fonte grise massive, de coloris noir, pour voirie légère avec plaque amovible centrale pour croissance du tronc,
- la pose,
- l' évacuation des déblais à la décharge de l'Entreprise,
y compris toutes sujétions.
Ce prix s'applique à l' unité comptée en place,</t>
  </si>
  <si>
    <t xml:space="preserve"> H20507</t>
  </si>
  <si>
    <t>Fourniture et pose d'une grille arbre, type n°1 de 2,00x2,00m pour voirie légère</t>
  </si>
  <si>
    <t>Fourniture et pose d'une grille arbre, type n°1 2,00x2,00m pour voirie légère
(voir  Cahier des Prescriptions Générales de l' Espace Public de la Ville de Rennes: Fiche technique n° E-2), comprenant :
- le terrassement superficiel,
- la réalisation d'un cadre pour mise en place de la grille,
- la  grille en fonte grise massive, de coloris noir, pour voirie légère avec plaque amovible centrale pour croissance du tronc,
- la pose,
- l' évacuation des déblais à la décharge de l'Entreprise,
y compris toutes sujétions.
Ce prix s'applique à l' unité comptée en place,</t>
  </si>
  <si>
    <t xml:space="preserve"> H20508</t>
  </si>
  <si>
    <t>Fourniture et pose d'une grille arbre, type n°1 de 2,00x2,00m pour voirie lourde</t>
  </si>
  <si>
    <t>Fourniture et pose d'une grille arbre, type n°1 2,00x2,00m pour voirie lourde
(voir  Cahier des Prescriptions Générales de l' Espace Public de la Ville de Rennes: Fiche technique n° E-2), comprenant :
- le terrassement superficiel,
- la réalisation d'un cadre pour mise en place de la grille,
- la  grille en fonte grise massive, de coloris noir, pour voirie légère avec plaque amovible centrale pour croissance du tronc,
- la pose,
- l' évacuation des déblais à la décharge de l'Entreprise,
y compris toutes sujétions.
Ce prix s'applique à l' unité comptée en place,</t>
  </si>
  <si>
    <t xml:space="preserve"> H20509</t>
  </si>
  <si>
    <t>Fourniture et pose d'une grille arbre, type n°2 de 1,50x1,50m pour voirie légère</t>
  </si>
  <si>
    <t xml:space="preserve"> H20510</t>
  </si>
  <si>
    <t>Fourniture et pose d' un jeu sur ressort</t>
  </si>
  <si>
    <t>Fourniture et pose d' un jeu sur ressort comprenant :
- les plaques en contreplaqué de très haute qualité de 15mm minimum d' épaisseur, chants arrondis et lisses,
- la mise en peinture réalisée par pulvérisation de laque polyuréthane avec couche de finition vernie,
- le ressort hélicoïdal en acier avec primaire et peinture par poudrage, et système d' ancrage sur base béton à enterrer,
- la plaque avec logo et information sécurité,
- la pose,
y compris toutes sujétions.
Ce prix s'applique à l' unité comptée en place,</t>
  </si>
  <si>
    <t xml:space="preserve"> H30102</t>
  </si>
  <si>
    <t>Fourniture et pose d' un toboggan en tôle d' acier</t>
  </si>
  <si>
    <t>Fourniture et pose d'un toboggan en acier, comprenant :
- les flancs en tôle sans joints de 2mm d' épaisseur minimum, gavanisé à chaud, avec primaire et peinture par poudrage, bords arrondis formant main-courante,
- la descente en acier inoxydable gauffré avec sortie arrondie
- l'escalier et la plateforme d'accès,
- l'ancrage au sol dans massifs de béton,
- la plaque avec logo et information sécurité,
- la pose,
y compris toutes sujétions.
Ce prix s'applique à l' unité comptée en place,</t>
  </si>
  <si>
    <t xml:space="preserve"> H30103</t>
  </si>
  <si>
    <t>Fourniture et pose d' un toboggan en contre-plaqué et acier</t>
  </si>
  <si>
    <t>Fourniture et plantation d'arbustes de forme particulière """"couvre-sol"""" en Cont. 3 L</t>
  </si>
  <si>
    <t>Fourniture et plantation d'arbustes de forme particulière """"couvre-sol"""" en Cont. 3 L
Ce prix s'applique à l'unité comptée en place,</t>
  </si>
  <si>
    <t xml:space="preserve"> J30430</t>
  </si>
  <si>
    <t>Fourniture et plantation d'arbustes de forme particulière """"grimpants"""" de cat. 1, cont. 3 L 80/100</t>
  </si>
  <si>
    <t>Fourniture et plantation d'arbustes de forme particulière """"grimpants"""" de cat. 1, cont. 3 L 80/100
Ce prix s'applique à l'unité comptée en place,</t>
  </si>
  <si>
    <t xml:space="preserve"> J30431</t>
  </si>
  <si>
    <t>Fourniture et plantation d'arbustes de forme particulière """"grimpants"""" de cat. 2, cont. 3 L 80/100</t>
  </si>
  <si>
    <t>Fourniture et plantation d'arbustes de forme particulière """"grimpants"""" de cat. 2, cont. 3 L 80/100
Ce prix s'applique à l'unité comptée en place,</t>
  </si>
  <si>
    <t xml:space="preserve"> J30432</t>
  </si>
  <si>
    <t>Fourniture et plantation d'arbustes de forme particulière """"grimpants"""" de cat. 1, cont. 5 L 100/150</t>
  </si>
  <si>
    <t>Fourniture et plantation d'arbustes de forme particulière """"grimpants"""" de cat. 1, cont. 5 L 100/150
Ce prix s'applique à l'unité comptée en place,</t>
  </si>
  <si>
    <t xml:space="preserve"> J30433</t>
  </si>
  <si>
    <t>Fourniture et plantation d'arbustes de forme particulière """"grimpants"""" de cat. 2, cont. 5 L 100/150</t>
  </si>
  <si>
    <t>Fourniture et plantation d'arbustes de forme particulière """"grimpants"""" de cat. 2, cont. 5 L 100/150
Ce prix s'applique à l'unité comptée en place,</t>
  </si>
  <si>
    <t xml:space="preserve"> J30434</t>
  </si>
  <si>
    <t>Fourniture et plantation d'arbustes de forme particulière """"grimpants"""" de cat. 1, cont. 7,5 L 150/200</t>
  </si>
  <si>
    <t>Fourniture et plantation d'arbustes de forme particulière """"grimpants"""" de cat. 1, cont. 7,5 L 150/200
Ce prix s'applique à l'unité comptée en place,</t>
  </si>
  <si>
    <t xml:space="preserve"> J30435</t>
  </si>
  <si>
    <t>Fourniture et plantation d'arbustes de forme particulière """"grimpants"""" de cat. 2, cont. 7,5 L 150/200</t>
  </si>
  <si>
    <t>Fourniture et plantation d'arbustes de forme particulière """"grimpants"""" de cat. 2, cont. 7,5 L 150/200
Ce prix s'applique à l'unité comptée en place,</t>
  </si>
  <si>
    <t xml:space="preserve"> J30440</t>
  </si>
  <si>
    <t>Fourniture et plantation d'arbustes de forme particulière """"haies""""</t>
  </si>
  <si>
    <t>Fourniture et plantation d'arbustes de forme particulière """"haies""""
Ce prix s'applique à l'unité comptée en place,</t>
  </si>
  <si>
    <t xml:space="preserve"> J30441</t>
  </si>
  <si>
    <t>Fourniture et plantation d'arbustes de forme particulière """"topiaires"""" et préformés</t>
  </si>
  <si>
    <t>Fourniture et plantation d'arbustes de forme particulière """"topiaires"""" et préformés
Ce prix s'applique à l'unité comptée en place,</t>
  </si>
  <si>
    <t xml:space="preserve"> J305</t>
  </si>
  <si>
    <t>Arbustes fruitiers : Fourniture, plantation et garantie de reprise</t>
  </si>
  <si>
    <t>Fourniture et plantation d'arbustes fruitiers comprenant :
- l'habillage du système racinaire et de la partie aérienne, le pralinage si nécessaire,
- l'implantation des végétaux,
- l'ouverture des trous,
- l'acheminement,
- la plantation proprement dite,
- la réalisation d'une cuvette au pied pour l'arrosage,
- le plombage, l'arrosage copieux,
- l'évacuation du contenant,
- le réglage définitif de la surface plantée,
- la garantie de reprise sur 1 an,
y compris toutes sujétions,</t>
  </si>
  <si>
    <t xml:space="preserve"> J30501</t>
  </si>
  <si>
    <t>Fourniture et plantation d'arbustes fruitiers en RN  30/40</t>
  </si>
  <si>
    <t>Fourniture et plantation d'arbustes fruitiers en RN  30/40
Ce prix s'applique à l'unité comptée en place,</t>
  </si>
  <si>
    <t xml:space="preserve"> J30502</t>
  </si>
  <si>
    <t>Fourniture et plantation d'arbustes fruitiers en Cont. 3 L, 30/40</t>
  </si>
  <si>
    <t>Fourniture et plantation d'arbustes fruitiers en Cont. 3 L, 30/40
Ce prix s'applique à l'unité comptée en place,</t>
  </si>
  <si>
    <t xml:space="preserve"> J30503</t>
  </si>
  <si>
    <t>Fourniture et plantation d'arbustes fruitiers en RN  40/60 3/5 branches</t>
  </si>
  <si>
    <t>Fourniture et plantation d'arbustes fruitiers en RN  40/60 3/5 branches
Ce prix s'applique à l'unité comptée en place,</t>
  </si>
  <si>
    <t xml:space="preserve"> J30504</t>
  </si>
  <si>
    <t>Fourniture et plantation d'arbustes fruitiers en Cont. 3 L, 40/60 3/5 branches</t>
  </si>
  <si>
    <t>Fourniture et plantation d'arbustes fruitiers en Cont. 3 L, 40/60 3/5 branches
Ce prix s'applique à l'unité comptée en place,</t>
  </si>
  <si>
    <t xml:space="preserve"> J30505</t>
  </si>
  <si>
    <t>Fourniture et plantation d'arbustes fruitiers en RN 60/80 7/10 branches</t>
  </si>
  <si>
    <t>Fourniture et plantation d'arbustes fruitiers en RN 60/80 7/10 branches
Ce prix s'applique à l'unité comptée en place,</t>
  </si>
  <si>
    <t xml:space="preserve"> J30506</t>
  </si>
  <si>
    <t>Fourniture et pose d' un manège, comprenant :
- la plate-forme en contreplaqué inaltérable recouvert en surface d' un film de résine phénolique antidérapante,
- les poignées en tubes d' acier électrogalvanisé avec primaire et peinture par poudrage, ou en acier inox
- l'axe avec système d' ancrage au sol, avec jupe de protection si nécessaire en fonction du modèle,
- la plaque avec logo et information sécurité,
- la pose,
y compris toutes sujétions.
Ce prix s'applique à l' unité comptée en place,</t>
  </si>
  <si>
    <t xml:space="preserve"> H30108</t>
  </si>
  <si>
    <t>Fourniture et pose d' une table de ping-pong en granito-ciment à sceller</t>
  </si>
  <si>
    <t>Fourniture et pose d' une table de ping-pong à sceller, comprenant :
- les piétements  en ciment armé à sceller, solidarisés par traverses métal,
- le plateau en granito-ciment  armé  coulé dans un cadre en aluminium aux angles arrondis,
- le filet en métal,
- la plaque avec logo et information sécurité,
- la pose,
y compris toutes sujétions.
Ce prix s'applique à l' unité comptée en place,</t>
  </si>
  <si>
    <t xml:space="preserve"> H30109</t>
  </si>
  <si>
    <t>Fourniture et pose d' un baby-foot en granito-ciment à sceller</t>
  </si>
  <si>
    <t>Fourniture et pose d' un baby-foot en granito-ciment à sceller, comprenant :
- les barres pleines en acier inox haute résistance,
- les joueurs en fonte d' aluminium thermolaquée,
- la plaque avec logo et information sécurité,
- la pose,
y compris toutes sujétions.
Ce prix s'applique à l' unité comptée en place,</t>
  </si>
  <si>
    <t xml:space="preserve"> H30110</t>
  </si>
  <si>
    <t>Fourniture et pose d' un bac à sable avec bâche</t>
  </si>
  <si>
    <t>Fourniture et pose d' un bac à sable de 3,00x3,00m avec bâche comprenant:
- le terrassement en déblais pour mise en œuvre du fond de forme,
- la mise en œuvre du fond de forme en 0/31,5 sur 12cm,
- l'entourage en pin traité,
- la banquettes avec chants arrondis en contreplaqué inaltérable recouvert en surface d' un film de résine phénolique antidérapante,
- la bâche de protection,
- l'ancrage au sol dans massifs béton,
- la plaque avec logo et information sécurité,
- la pose,
y compris toutes sujétions.
Ce prix s'applique à l' unité comptée en place,</t>
  </si>
  <si>
    <t xml:space="preserve"> H30111</t>
  </si>
  <si>
    <t>Fourniture et pose d'un portillon à barreaudage de largeur 1,50m et de hauteur 1,73m,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 système de fermeture, arrêtoir,
-  la galvanisation à chaud, la mise en peinture par thermolaquage coloris RAL 7026
- la pose, 
- l' évacuation des déblais à la décharge de l'Entreprise,
y compris toutes sujétions.
Ce prix s'applique à l'unité comptée en place,</t>
  </si>
  <si>
    <t xml:space="preserve"> H10123</t>
  </si>
  <si>
    <t>Fourniture et pose d' un portillon à barreaudage de largeur 1,50m et de hauteur 2,03m</t>
  </si>
  <si>
    <t>Fourniture et pose d'un portillon à barreaudage de largeur 1,50m et de hauteur 2,03m,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 système de fermeture gâche et cylindre, arrêtoir,
-  la galvanisation à chaud, la mise en peinture par thermolaquage coloris RAL 7026
- la pose, 
- l' évacuation des déblais à la décharge de l'Entreprise,
y compris toutes sujétions.
Ce prix s'applique à l'unité comptée en place,</t>
  </si>
  <si>
    <t xml:space="preserve"> H10130</t>
  </si>
  <si>
    <t>Fourniture et pose d' un portail à 2 vantaux à barreaudage de largeur 3,00m et de hauteur 1,03m</t>
  </si>
  <si>
    <t>Fourniture et pose d' une table à 'pâtés' pour bac à sable</t>
  </si>
  <si>
    <t>Fourniture et pose d'un portail à 2 vantaux à barreaudage de largeur 3,00m et de hauteur 1,03m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l'unité comptée en place,</t>
  </si>
  <si>
    <t xml:space="preserve"> H10131</t>
  </si>
  <si>
    <t>Fourniture et pose d' un portail à 2 vantaux à barreaudage de largeur 3,00m et de hauteur 1,23m</t>
  </si>
  <si>
    <t>Fourniture et pose d'un portail à 2 vantaux à barreaudage de largeur 3,00m et de hauteur 1,23m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l'unité comptée en place,</t>
  </si>
  <si>
    <t xml:space="preserve"> H10132</t>
  </si>
  <si>
    <t>Fourniture et pose d' un portail à 2 vantaux à barreaudage de largeur 3,00m et de hauteur 1,53m</t>
  </si>
  <si>
    <t>Fourniture et pose de bordure droite à talon, n°32 préfabriquée en béton (h : 0,40m), comprenant :
- la fourniture des bordures n°32 en béton,
- le règlement du fond d'encaissement,    
- la fondation de béton de ciment de 0,10 m d'épaisseur (voir CCTP) 
- l'exécution des joints.
Ce prix s'applique au mètre linéaire mesuré en place,</t>
  </si>
  <si>
    <t xml:space="preserve"> G10206</t>
  </si>
  <si>
    <t>Fourniture et pose de bordure n°8 en alignement droit ou courbe</t>
  </si>
  <si>
    <t>Fourniture et pose de bordure n°8 en alignement droit ou courbe ( 25 X 7 ), comprenant :
- la fourniture des bordures n°8,
 - le règlement du fond d'encaissement,    
 - la fondation de béton de ciment de 0,05m d'épaisseur (voir CCTP) 
- l'exécution des joints.
Ce prix s'applique au mètre linéaire mesuré en place,</t>
  </si>
  <si>
    <t xml:space="preserve"> G10207</t>
  </si>
  <si>
    <t>Fourniture et pose de bordure n°9 en alignement droit ou courbe</t>
  </si>
  <si>
    <t>Fourniture et pose de bordure n°9 en alignement droit ou courbe ( 25 X 7 ), comprenant :
- la fourniture des bordures n°9,
 - le règlement du fond d'encaissement,    
 - la fondation de béton de ciment de 0,05m d'épaisseur (voir CCTP) 
- l'exécution des joints.
Ce prix s'applique au mètre linéaire mesuré en place,</t>
  </si>
  <si>
    <t xml:space="preserve"> G103</t>
  </si>
  <si>
    <t>Bordures en matériaux synthétiques
(bordure de terrain de sport type ACO)</t>
  </si>
  <si>
    <t xml:space="preserve"> G10301</t>
  </si>
  <si>
    <t>Fourniture et pose de bordure souple droite type Acoélastique section 0,40m x0,04m x 1,00m pour espace de jeux, terrain de sport</t>
  </si>
  <si>
    <t>Fourniture et pose de bordure souple droite type Acoélastique section 0,40m x0,04m x 1,00m pour espace de jeux, terrain de sport comprenant :
- la fourniture à pied d'œuvre des bordures souples,
- le règlement de fond d'encaissement,    
- la fondation de béton de ciment de 0,05m d'épaisseur (voir CCTP) 
- la pose
- le scellement au béton
Ce prix s'applique au mètre linéaire mesuré en place,</t>
  </si>
  <si>
    <t xml:space="preserve"> G10302</t>
  </si>
  <si>
    <t>Fourniture et pose de bordure souple d'angle type Acoélastique section 0,25m x 0,25m x 0,04m pour espace de jeux, terrain de sport</t>
  </si>
  <si>
    <t>Fourniture et pose de bordure souple d'angle type Acoélastique section 0,25m x 0,25m x 0,04m pour espace de jeux, terrain de sport, comprenant :
- la fourniture à pied d'œuvre des bordures souples,
- le règlement de fond d'encaissement,    
- la fondation de béton de ciment de 0,05m d'épaisseur (voir CCTP) 
- la pose
- le scellement au béton
Ce prix s'applique à l'unité comptée en place,</t>
  </si>
  <si>
    <t xml:space="preserve"> G104</t>
  </si>
  <si>
    <t>Chaînettes en matériaux naturels</t>
  </si>
  <si>
    <t xml:space="preserve"> G10401</t>
  </si>
  <si>
    <t>Fourniture et pose de pavé échantillon 14x20x14 pour exécution de chaînette</t>
  </si>
  <si>
    <t>Fourniture et pose d'un portail à 2 vantaux à barreaudage de largeur 3,00m et de hauteur 2,03m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 unité comptée en place</t>
  </si>
  <si>
    <t xml:space="preserve"> H10135</t>
  </si>
  <si>
    <t>Fourniture et pose d' un portail à 2 vantaux à barreaudage de largeur 4,00m et de hauteur 1,03m</t>
  </si>
  <si>
    <t>Fourniture et pose d'un portail à 2 vantaux à barreaudage de largeur 4,00m et de hauteur 1,03m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 unité posé sur place</t>
  </si>
  <si>
    <t xml:space="preserve"> H10136</t>
  </si>
  <si>
    <t>Fourniture et pose d' un portail à 2 vantaux à barreaudage de largeur 4,00m et de hauteur 1,23m</t>
  </si>
  <si>
    <t>Repose de pavé de réemploi pour exécution de caniveau comprenant:
- le règlement soigné de l'encaissement,
- la fourniture à pied d'œuvre de tous agrégats et du liant. le mortier sera de type : ciment CPJ CEM II 32,5,
- la confection de la fondation de béton de 0,10 m d'épaisseur,
- le tri et l'évacuation des mauvais éléments,
- le décrottage des pavés à utiliser, soit en provenance du chantier, soit en provenance du dépôt de la Ville de Rennes    
- la pose des pavés,
- le garnissage des joints au mortier de ciment,
- le nettoyage des pavés,
 y compris toutes sujétions.
Ce prix s'applique au mètre carré de surface mesurée en place,</t>
  </si>
  <si>
    <t xml:space="preserve"> G107</t>
  </si>
  <si>
    <t>Caniveaux en matériaux reconstitués</t>
  </si>
  <si>
    <t xml:space="preserve"> G10701</t>
  </si>
  <si>
    <t>Fourniture et pose de demi-caniveaux module 14x20x14, largeur 0,30m</t>
  </si>
  <si>
    <t>Fourniture et pose de demi-caniveaux module 14x20x14, largeur 0,30m,  comprenant :
- le règlement soigné de l'encaissement,
- la fondation de béton de 0,10 m d'épaisseur (voir CCTP) 
- le garnissage des joints au mortier de ciment.
Ce prix s'applique au mètre linéaire mesuré en place,</t>
  </si>
  <si>
    <t xml:space="preserve"> G10702</t>
  </si>
  <si>
    <t>Fourniture et pose d'un abri de jardin, simple suivant plans et CCTP comprenant:
- les façades en panneaux de bardage clins en pin traité, lasuré coloris, suivant RAL,
- 1 bandeau périphérique en contre-plaqué de qualité extérieure de 18mm d'épaisseur, lasuré coloris suivant RAL,
- 4 poteaux en pin traité  de section 9x9cm rabotés 4 faces, lasuré coloris suivant RAL, y compris platines de fixation,
- la couverture type bac acier coloris suivant RAL ,
- 1 gouttière et 1 descente EP en PVC, coloris suivant RAL
- la quincaillerie galvanisée
- la  pose
y compris toutes sujétions.
Ce prix s'applique à l' unité comptée en place,</t>
  </si>
  <si>
    <t xml:space="preserve"> H50302</t>
  </si>
  <si>
    <t>Fourniture et pose d'un abri de jardin double</t>
  </si>
  <si>
    <t>Fourniture et pose d'un abri de jardin, double, suivant plans et CCTP, comprenant:
- les façades en panneaux de bardage clins en pin traité, lasuré coloris, suivant RAL,
- 1 bandeau périphérique en contre-plaqué de qualité extérieure de 18mm d'épaisseur, lasuré coloris suivant RAL,
- 6 poteaux en pin traité  de section 9x9cm rabotés 4 faces, lasuré coloris suivant RAL, y compris platines de fixation,
- la couverture type bac acier coloris suivant RAL ,
- 2 gouttières et 2 descentes EP en PVC, coloris suivant RAL,
- la quincaillerie galvanisée,
- la pose
y compris toutes sujétions.
Ce prix s'applique à l' unité comptée en place,</t>
  </si>
  <si>
    <t xml:space="preserve"> H50303</t>
  </si>
  <si>
    <t>Fourniture et pose d'un abri de jardin triple</t>
  </si>
  <si>
    <t>Fourniture et pose d'un abri de jardin, triple, suivant plans et CCTP, comprenant:
- les façades en panneaux de bardage clins en pin traité, lasuré coloris, suivant RAL,
- 1 bandeau périphérique en contre-plaqué de qualité extérieure de 18mm d'épaisseur, lasuré coloris suivant RAL,
- 8 poteaux en pin traité  de section 9x9cm rabotés 4 faces, lasuré coloris suivant RAL, y compris platines de fixation,
- la couverture type bac acier coloris suivant RAL ,
- 2 gouttières et 3 descentes EP en PVC, coloris suivant RAL,
- la quincaillerie galvanisée,
- la pose
y compris toutes sujétions.
Ce prix s'applique à l' unité comptée en place,</t>
  </si>
  <si>
    <t xml:space="preserve"> H50304</t>
  </si>
  <si>
    <t>Fourniture et pose d'un abri de jardin quadruple</t>
  </si>
  <si>
    <t>Fourniture d'un abri de jardin, quadruple, suivant plans et CCTP, comprenant:
- les façades en panneaux de bardage clins en pin traité, lasuré coloris, suivant RAL,
- 1 bandeau périphérique en contre-plaqué de qualité extérieure de 18mm d'épaisseur, lasuré coloris suivant RAL,
- 9 poteaux en pin traité  de section 9x9cm rabotés 4 faces, lasuré coloris suivant RAL, y compris platines de fixation,
- la couverture type bac acier coloris suivant RAL ,
- 2 gouttières et 4 descentes EP en PVC, coloris suivant RAL,
- la quincaillerie galvanisée,
- la pose,
y compris toutes sujétions.
Ce prix s'applique à l' unité comptée en place,</t>
  </si>
  <si>
    <t xml:space="preserve"> H504</t>
  </si>
  <si>
    <t>Fourniture et pose de pontons, passerelles…</t>
  </si>
  <si>
    <t xml:space="preserve"> H50401</t>
  </si>
  <si>
    <t>Fourniture et pose d'un ponton</t>
  </si>
  <si>
    <t>Fourniture et pose d'un ponton, suivant plans et CCTP
Ce prix s'applique à l' unité livrée, posée sur place,</t>
  </si>
  <si>
    <t xml:space="preserve"> H50402</t>
  </si>
  <si>
    <t>Fourniture et pose d'une passerelle largeur 1m</t>
  </si>
  <si>
    <t xml:space="preserve"> H50403</t>
  </si>
  <si>
    <t>Fourniture et pose d'un platelage bois rainuré</t>
  </si>
  <si>
    <t xml:space="preserve"> H505</t>
  </si>
  <si>
    <t>Fourniture et pose d' un parcours sportif</t>
  </si>
  <si>
    <t xml:space="preserve"> H50501</t>
  </si>
  <si>
    <t>Fourniture et pose d' un parcours sportif suivant plans et ateliers choisis 
Ce prix s'applique à l' unité livrée, posée sur place,</t>
  </si>
  <si>
    <t xml:space="preserve"> I</t>
  </si>
  <si>
    <t>ENGAZONNEMENT, ENSEMENCEMENT</t>
  </si>
  <si>
    <t xml:space="preserve"> I1</t>
  </si>
  <si>
    <t>Engazonnement</t>
  </si>
  <si>
    <t xml:space="preserve"> I101</t>
  </si>
  <si>
    <t>Engazonnement par semis</t>
  </si>
  <si>
    <t xml:space="preserve"> I10101</t>
  </si>
  <si>
    <t>Fourniture et pose d'un portillon de largeur 1,50m et de hauteur 1,00m, suivant plans et CCP, comprenant :
- le terrassement quelque soit la nature du terrain pour scellement des poteaux,
- 2 poteaux tubulaires carrés, obturés en partie supérieure, scellés dans des massifs béton de 30x30x50cm,
- 1 vantail de largeur 1,25m composé de :
- 2 montants verticaux en tube carré,
- 3 lisses horizontales en fer plein
- de barreaux en fer plein,
- 2 panneaux en tôle, en partie inférieure, assemblés aux lisses par cordons de soudure,
- d'un groom hydraulique et pivot de sol,
 la galvanisation à chaud, la mise en peinture par thermolaquage coloris RAL 7026
- la pose, 
- l' évacuation des déblais à la décharge de l'Entreprise,
y compris toutes sujétions.
Ce prix s'applique à l' unité comptée en place,</t>
  </si>
  <si>
    <t xml:space="preserve"> H10205</t>
  </si>
  <si>
    <t>Fourniture et pose d'un portillon, type serrurerie, de largeur 1,25m et de hauteur 1,25m</t>
  </si>
  <si>
    <t>Fourniture et pose d'un portillon de largeur 1,25m et de hauteur 1,25m, suivant plans et CCP, comprenant :
- le terrassement quelque soit la nature du terrain pour scellement des poteaux,
- 2 poteaux tubulaires carrés, obturés en partie supérieure, scellés dans des massifs béton de 30x30x50cm,
- 1 vantail de largeur1,25m composé de :
- 2 montants verticaux en tube carré,
- 3 lisses horizontales en fer plein
- de barreaux en fer plein,
- 2 panneaux en tôle, en partie inférieure, assemblés aux lisses par cordons de soudure,
- d'un groom hydraulique et pivot de sol,
- la la galvanisation à chaud, la mise en peinture par thermolaquage coloris RAL 7026
- la pose, 
- l' évacuation des déblais à la décharge de l'Entreprise,
y compris toutes sujétions.
Ce prix s'applique à l' unité comptée en place,</t>
  </si>
  <si>
    <t xml:space="preserve"> H10206</t>
  </si>
  <si>
    <t>Fourniture et pose d'un portillon, type serrurerie, de largeur 1,25m et de hauteur 1,50m</t>
  </si>
  <si>
    <t>Reprise et mise en oeuvre de granulats concassés 0/40, produit de recyclage, en provenance du dépôt des Boëdriers, y compris PV manuelle, comprenant :
- le chargement au dépôts des Boëdriers,
- la mise à disposition par l'entreprise de l'engin de chargement et d'un chauffeur
- le transport des matériaux du dépôt vers le chantier,
- le régalage et le compactage,
- la mise en oeuvre à la main dans les zones où l'intervention manuelle est nécessaire.
Ce prix s'applique au mètre cube de matériau mesuré en place,</t>
  </si>
  <si>
    <t xml:space="preserve"> G202</t>
  </si>
  <si>
    <t>Couche en matériaux traités,</t>
  </si>
  <si>
    <t xml:space="preserve"> G20201</t>
  </si>
  <si>
    <t>Fourniture et mise en œuvre de grave ciment 0/16</t>
  </si>
  <si>
    <t>Fourniture et mise en œuvre mécanique de grave ciment 0/16 (voir CCTP) comprenant notamment :
- la fourniture,
- le régalage et le compactage.
Ce prix s'applique à la tonne de matériaux mise en œuvre,</t>
  </si>
  <si>
    <t xml:space="preserve"> G20202</t>
  </si>
  <si>
    <t>Fourniture et mise en œuvre de grave bitume 0/14</t>
  </si>
  <si>
    <t>Fourniture et mise en œuvre mécanique de grave bitume 0/14 (voir CCTP) comprenant notamment :
- la fabrication et le transport,
- l'épandage et le compactage,
- le nettoyage de la chaussée.
Ce prix s'applique à la tonne de matériaux mise en œuvre,</t>
  </si>
  <si>
    <t xml:space="preserve"> G20203</t>
  </si>
  <si>
    <t>Exécution d'une dalle de fondation en béton maigre dosé à 150 kg/m3</t>
  </si>
  <si>
    <t>Exécution d'une dalle en béton (ép=0.10m à 0.20m) dosée à 150Kg/m3 de ciment de classe CPJ CEM II 32.5 au m3 destinée à recevoir le pavage comprenant notamment :
- le règlement soigné de l'encaissement,
- la fourniture à pied d'oeuvre du béton,
- la mise à disposition du coffrage nécessaire,
- la fourniture et la mise en place de fourreaux PVC Ø 350mm pour bouches à clé,
- la mise en place du béton par vibration,
y compris toutes sujétions.
Ce prix s'applique au mètre cube de matériaux mis en oeuvre,</t>
  </si>
  <si>
    <t xml:space="preserve"> G20204</t>
  </si>
  <si>
    <t>Exécution d'une dalle en béton dosé à 350 kg de ciment</t>
  </si>
  <si>
    <t>Fourniture et pose d'un regard borgne 40 x 40 comprenant :
- la fourniture du regard préfabriqué en béton de forme carré et des matériaux nécessaires à la réalisation du radier,
- les fouilles pour la réalisation du regard y compris évacuation,
- la construction d'un radier en béton dosé à 350Kg lissé intérieurement,
- la pose du regard avec bac de décantation,
- la réalisation de trous pour le passage des canalisations 
- le jointoiement soigné à l'aide d'un mortier de ciment,
- raccordement altimétrique avec le sol environnant sans présenter de risque pour le public,
y compris toutes sujétions.
Ce prix s'applique à l'unité comptée en place,</t>
  </si>
  <si>
    <t xml:space="preserve"> E20407</t>
  </si>
  <si>
    <t>Fourniture et pose d'un caniveau grille en fonte, largeur 200</t>
  </si>
  <si>
    <t>Fourniture et pose d'un caniveau grille en fonte, largeur 200 comprenant :
- la fourniture d' un caniveau à grille à pente incorporé type Aco Drain ou équivalent,
- les fouilles y compris évacuation des déblais à la décharge de l'entreprise,
- la construction d'un solin béton dosé à 350Kg,
- le jointoiement des éléments de caniveau au mortier,
- la réalisation de trous pour le passage des canalisations,
- le jointoiement soigné à l'aide d'un mortier de ciment,
- la couverture par grille en fonte boulonnée,
- le comblement de la fouille avec compactage et évacuation d'excédent de terre,
- raccordement altimétrique avec le sol environnant sans présenter de risque pour le public,
y compris toutes sujétions.
Ce prix s'applique à l'unité comptée en place,</t>
  </si>
  <si>
    <t xml:space="preserve"> E20408</t>
  </si>
  <si>
    <t>Mise à niveau de regard 40x40</t>
  </si>
  <si>
    <t>Surfaçage d'une surface sablée en sable 4/6 ou 4/8 alluvionnaire (roulé) ép.= 2 à 3 cm comprenant :
- le griffage en surface du sable en place et l'enlèvement des adventices,
- la fourniture du sable à pied d'œuvre,
- son épandage manuel en couche régulière de 2 à 3 cm,
- le cylindrage,
Ce prix s'applique au mètre carré de surface mesurée en place,</t>
  </si>
  <si>
    <t xml:space="preserve"> G30104</t>
  </si>
  <si>
    <t>Fourniture et pose d' un portail à 2 vantaux (inégaux) à barreaudage de largeur 2,50m et de hauteur 1,00m, suivant plans et CCTP, comprenant :
-  le terrassement quelque soit la nature du terrain pour scellement des poteaux,
-  2 poteaux tubulaires carrés, obturés en partie supérieure, scellés dans des massifs béton de 30x30x50cm
-  2 vantaux, chaque vantail étant composés de :
- 2 montants verticaux en tube carré,
- 3 lisses horizontales en fer plein
- de barreaux en fer plein,
- d'un groom hydraulique et pivot de sol : grand vantail,
- sur l'un des vantaux 2 panneaux en tôle, en partie inférieure, assemblés aux lisses par cordons de soudure : petit vantail,
- la galvanisation à chaud, la mise en peinture par thermolaquage coloris RAL 7026
- la pose, 
- l' évacuation des déblais à la décharge de l'Entreprise,
y compris toutes sujétions.
Ce prix s'applique à l' unité comptée en place,</t>
  </si>
  <si>
    <t xml:space="preserve"> H10211</t>
  </si>
  <si>
    <t>Fourniture et pose d' un portail à 2 vantaux, type serrurerie, de largeur 3,00m et de hauteur 1,20m</t>
  </si>
  <si>
    <t>Fourniture et pose d' un portail à 2 vantaux (inégaux) à barreaudage de largeur 2,50m et de hauteur 1,20m, suivant plans et CCTP, comprenant :
-  le terrassement quelque soit la nature du terrain pour scellement des poteaux,
-  2 poteaux tubulaires carrés, obturés en partie supérieure, scellés dans des massifs béton de 30x30x50cm
-  2 vantaux, chaque vantail étant composés de :
- 2 montants verticaux en tube carré,
- 2 ou 3 lisses horizontales en fer plein suivant vantail,
- de barreaux en fer plein,
- 1 arrêtoir
- 1 groom hydraulique et pivot de sol : grand vantail,
- 2 panneaux en tôle, en partie inférieure, assemblés aux lisses par cordons de soudure, 1 verrou de sol et 1pivot de sol : petit vantail,
- la galvanisation à chaud, la mise en peinture par thermolaquage coloris RAL 7026
- la pose, 
- l' évacuation des déblais à la décharge de l'Entreprise,
y compris toutes sujétions.
Ce prix s'applique à l' unité comptée en place,</t>
  </si>
  <si>
    <t xml:space="preserve"> H10212</t>
  </si>
  <si>
    <t>Fourniture et pose d' un portail à 2 vantaux (inégaux) à barreaudage de largeur 2,50m et de hauteur 1,50m, suivant plans et CCTP, comprenant :
-  le terrassement quelque soit la nature du terrain pour scellement des poteaux,
-  2 poteaux tubulaires carrés, obturés en partie supérieure, scellés dans des massifs béton de 30x30x50cm
-  2 vantaux, chaque vantail étant composés de :
- 2 montants verticaux en tube carré,
- 2 ou 3 lisses horizontales en fer plein suivant vantail,
- de barreaux en fer plein,
- 1 arrêtoir
- 1 groom hydraulique et pivot de sol : grand vantail,
- 2 panneaux en tôle, en partie inférieure, assemblés aux lisses par cordons de soudure, 1 verrou de sol et 1pivot : petit vantail,
- la galvanisation à chaud, la mise en peinture par thermolaquage coloris RAL 7026
- la pose, 
- l' évacuation des déblais à la décharge de l'Entreprise,
y compris toutes sujétions.
Ce prix s'applique à l' unité comptée en place,</t>
  </si>
  <si>
    <t xml:space="preserve"> H10213</t>
  </si>
  <si>
    <t>Fourniture et pose d'une structure métallique en treillis soudé pour support de plantes dans fosses de plantation</t>
  </si>
  <si>
    <t>Fourniture et pose d'une structure métallique en treillis soudé pour support de plantes dans fosses de plantation, suivant plans et CCTP composées :
- de panneaux en treillis soudés à mailles rectangulaires de 100x50mm, fil de Ø 6mm,
- de piquets fer en T, de 1,00m de longueur, finis en pointe, solidarisés aus structures par fil d' acier galvanisé plastifié vert e Ø 1,5mm, pour la fixation des structures dans la fosse,
- la galvanisation à chaud, la mise en peinture par thermolaquage coloris RAL 7026,
- la pose horizontale,
y compris toutes sujétions.
Ce prix s'applique à l' unité comptée en place,</t>
  </si>
  <si>
    <t xml:space="preserve"> H10214</t>
  </si>
  <si>
    <t>Fourniture et pose d'une pergola métallique</t>
  </si>
  <si>
    <t>Fourniture et pose d'une clôture fixe en pin traité classe 4 de hauteur hors-sol 1,20m, par des éléments de 2,00ml comprenant :
-  le terrassement quelque soit la nature du terrain pour scellement des piquets,
- des piquets de section de 125x75mm et de longueur 1,80m, pour une hauteur hors-sol de 1,20m, placés tous les 2,00m et  scellés dans des massifs béton de 0,30x0,30x0,50m,
- 2 lisses horizontales de section 100x22x2,00m,
- la pose,
- l' évacuation des déblais à la décharge de l'Entreprise,
y compris toutes sujétions.
Ce prix s'applique au mètre linéaire posé, mesuré sur place</t>
  </si>
  <si>
    <t xml:space="preserve"> H10303</t>
  </si>
  <si>
    <t>Fourniture et pose d'une clôture panneaux type écran en pin traité classe 4</t>
  </si>
  <si>
    <t>Fourniture et pose d'une clôture panneaux type écran en pin traité classe 4 comprenant :
- le terrassement quelque soit la nature du terrain pour scellement des poteaux
- des poteaux de section 90x90mm, scellés dans des massifs béton de 30x30x50cm, ou fixation par platines,
- un cadre renforcé de section 58x43mm, assemblage par tenons, mortaises et chevilles métal,
- des lames de section 70x10mm à recouvrement,
- la pose,
- l' évacuation des déblais à la décharge de l'Entreprise,
y compris toutes sujétions.
- Ce prix s'applique au mètre linéaire posé, mesuré sur place</t>
  </si>
  <si>
    <t xml:space="preserve"> H10304</t>
  </si>
  <si>
    <t>Fourniture et pose d' une barrière coulissante de hauteur hors sol 0,90 m en pin traité de   
classe 4 pour passage jusqu' à 3,50m</t>
  </si>
  <si>
    <t>Fourniture et mise en place d'un tuteurage tripode complet comprenant :
- fourniture et implantation de 3 tuteurs appointés, fraisés en résineux en bois Ø 80 mm, plantés verticalement dans le sol à l'extérieur de la motte aux angles d'un triangle équilatéral,
- fourniture de 3 1/2 rondins Ø 8 cm de qualité identique aux piquets et fixés horizontalement par six tire-fond au sommet des piquets à 1.70 m
du sol sans atteindre et gêner la couronne des arbres,
- la tenue de l'arbre est assurée par 3 sangles souples non
blessantes fixées horizontalement aux piquets à la hauteur des
1/2 rondins avec un réglage de tension par un passant coulissant,
y compris toutes sujétions,
Ce prix s'applique à l'unité comptée en place,</t>
  </si>
  <si>
    <t xml:space="preserve"> J10106</t>
  </si>
  <si>
    <t>Fourniture et mise en place d'un système d'haubanage pour végétaux jusqu'à 4,50 m</t>
  </si>
  <si>
    <t>Fourniture et mise en place d'un système d'haubanage pour végétaux jusqu'à 4,50 m comprenant :
- la fourniture d'un kit de type CG1 PLATIPUS ou équivalent (composition voir CCTP),
- la mise en place du kit suivant les prescriptions du fournisseur (voir CCTP),
y compris toutes sujétions,
Ce prix s'applique à l'unité comptée en place,</t>
  </si>
  <si>
    <t xml:space="preserve"> J10107</t>
  </si>
  <si>
    <t>Fourniture et mise en place d'un système d'haubanage pour végétaux de 4,50 m à 7,50 m</t>
  </si>
  <si>
    <t>Fourniture et mise en place d'un système d'haubanage pour végétaux de 4,50 m à 7,50 m comprenant :
- la fourniture d'un kit de type CG2 PLATIPUS ou équivalent (composition voir CCTP),
- la mise en place du kit suivant les prescriptions du fournisseur (voir CCTP),
y compris toutes sujétions,
Ce prix s'applique a l'unité mise en place,</t>
  </si>
  <si>
    <t xml:space="preserve"> J10108</t>
  </si>
  <si>
    <t>Fourniture et mise en place d'un système d'ancrage de motte pour arbre jusqu'au Ø 20/25</t>
  </si>
  <si>
    <t>Fourniture et mise en place d'un système d'ancrage de motte pour arbre jusqu'au Ø 20/25 comprenant :
- la fourniture d'un kit de type RF1+ PM1 PLATIPUS ou équivalent (composition voir CCTP),
- la mise en place du kit suivant les prescriptions du fournisseur (voir CCTP),
y compris toutes sujétions,
Ce prix s'applique à l'unité comptée en place,</t>
  </si>
  <si>
    <t xml:space="preserve"> J10109</t>
  </si>
  <si>
    <t>Fourniture et mise en place d'un système d'ancrage de motte pour arbre d'un Ø 25/30 à Ø 40/45</t>
  </si>
  <si>
    <t>Fourniture et mise en place d'un système d'ancrage de motte pour arbre d'un Ø 25/30 à Ø 40/45 comprenant :
- la fourniture d'un kit de type RF2+ Pm² PLATIPUS ou équivalent (composition voir CCTP),
- la mise en place du kit suivant les prescriptions du fournisseur (voir CCTP),
y compris toutes sujétions,
Ce prix s'applique à l'unité comptée en place,</t>
  </si>
  <si>
    <t xml:space="preserve"> J10110</t>
  </si>
  <si>
    <t>Fourniture et mise en place d'un palissage par treillis soudés fixé au mur</t>
  </si>
  <si>
    <t>Fourniture et mise en place d'un palissage par treillis soudés fixé au mur comprenant :
- la fourniture du treillis soudé RAL 7026 (descriptif voir CCTP),
- la mise en place à l'aide d'un système de fixation en INOX (descriptif voir CCTP),
y compris toutes sujétions,
Ce prix s'applique au mètre carré de surface mesurée en place,</t>
  </si>
  <si>
    <t xml:space="preserve"> J10111</t>
  </si>
  <si>
    <t>Fourniture et mise en place d'un palissage par système de câbles tendus</t>
  </si>
  <si>
    <t>Fourniture et mise en place d'un palissage par système de câbles tendus comprenant :
- la fourniture des câbles, tendeurs, entretoises et systémes de fixation en INOX (descriptif voir CCTP),
- la mise en place suivant un plan de calepinage ou prescriptions du maître d'oeuvre (descriptif voir CCTP),
y compris toutes sujétions,
Ce prix s'applique au mètre linéaire traité, mesuré en place,</t>
  </si>
  <si>
    <t xml:space="preserve"> J102</t>
  </si>
  <si>
    <t>Paillage tissé pour plantations</t>
  </si>
  <si>
    <t xml:space="preserve"> J10201</t>
  </si>
  <si>
    <t>Fourniture et mise en place d'un paillage de feutre 100 % biodégradable en rouleau</t>
  </si>
  <si>
    <t>Fourniture et pose d'un portillon de largeur 1,25m et de hauteur 1,20m, en pin traité de classe 4, comprenant :
-  le terrassement quelque soit la nature du terrain pour scellement des poteaux,
- 2 poteaux de 90x90mm de section, de longueur 1,70m, rabotés 4 faces, angles arrondis, scellés dans des massifs béton de 30x30x50cm,
- 8 lattes verticales de 22x90mm de section, de longueur 1,20m, avec finition arrondie en partie haute,
- 2 lisses horizontales de 21x95mm de section, de longueur 1,20m, et d' une latte de renfort de même section,  placée en oblique et rejoignant les 2 lisses horizontales,
- la quincaillerie électrozinguée; 2 pentures et un verrou,
- la pose,
- l' évacuation des déblais à la décharge de l'Entreprise,
y compris toutes sujétions.
Ce prix s'applique à l' unité comptée en place,</t>
  </si>
  <si>
    <t xml:space="preserve"> H10307</t>
  </si>
  <si>
    <t>Fourniture et pose d'un portillon de largeur 1,25m et de hauteur 1,20m, en pin traité de classe 4, comprenant :
-  le terrassement quelque soit la nature du terrain pour scellement des poteaux,
- 2 poteaux de 90x90mm de section, de longueur 1,70m, rabotés 4 faces, angles arrondis, scellés dans des massifs béton de 30x30x50cm,
- 8 lattes verticales de 22x90mm de section, de longueur 1,20m, avec finition arrondie en partie haute,
- 2 lisse horizontales de 21x95mm de section, de longueur 1,20m, et d' une latte de renfort de même section,  placée en oblique et rejoignant les 2 lisses horizontales,
- la quincaillerie électrozinguée; 2 pentures et un verrou,
- la pose,
- l' évacuation des déblais à la décharge de l'Entreprise,
y compris toutes sujétions.
Ce prix s'applique à l' unité comptée en place,</t>
  </si>
  <si>
    <t xml:space="preserve"> H104</t>
  </si>
  <si>
    <t>Fourniture et pose des éléments en bois de fabrication artisanale  suivant plans</t>
  </si>
  <si>
    <t xml:space="preserve"> H10401</t>
  </si>
  <si>
    <t>Fourniture et pose de pergola, en pin traité de classe 4</t>
  </si>
  <si>
    <t>Exécution d'un dallage en béton de ciment taloché ou peigné dosé à 300 kg/m3, avec joints en P.V.C., comprenant :
- la fourniture et la mise en oeuvre du béton
- la fourniture et la mise en place d'un treillis soudé
- la fourniture et la mise en place des joints en P.V.C
- le talochage ou le peignage.
Ce prix s'applique au mètre carré de surface mesurée en place,
    a) pour une épaisseur de 0,10 m : 22.10
    b) pour une épaisseur de 0,15 m : 27.45
    c) pour une épaisseur de 0,20 m : 33.50</t>
  </si>
  <si>
    <t xml:space="preserve"> G30302</t>
  </si>
  <si>
    <t>Plus-value au prix G3-03-01 pour exécution de rainures</t>
  </si>
  <si>
    <t>Plus-value aux prix G3-03-01 pour exécution de rainures transversales antidérapantes, après coulage et mise en oeuvre du béton (voir plan).
Ce prix s'applique au mètre carré de surface mesurée en place,</t>
  </si>
  <si>
    <t xml:space="preserve"> G30303</t>
  </si>
  <si>
    <t>Exécution d'un dallage en béton désactivé, armé,  sur trottoir et allée ép.: 0.13m</t>
  </si>
  <si>
    <t>Exécution d'un dallage en béton désactivé, épaisseur 13cm pour trottoir et allée (voir C.C.T.P.) comprenant :
- la fourniture et la mise en oeuvre du béton avec fibres et granulats 8/10 Saint Fraimbault ou 4/6 Radenac,
- la fourniture et la mise en oeuvre du coffrage de rive,
- l'humidification de la plate-forme,
- le talochage et le lissage,
- la fourniture et la mise en place des joints en P.V.C ou le moulage ou le sciage,
- l'application du désactivant et la finition au désactivant de surface,
- Le lavage et la cure du béton.
Ce prix s'applique au mètre carré de surface mesurée en place,</t>
  </si>
  <si>
    <t xml:space="preserve"> G30304</t>
  </si>
  <si>
    <t>Exécution d'un dallage en béton désactivé, armé, pour chaussée, voie échelle ép.:0.20m</t>
  </si>
  <si>
    <t>Fourniture et pose de goutte à goutte enterrable Ø 16</t>
  </si>
  <si>
    <t>Fourniture et pose de goutte à goutte enterrable Ø 16 comprenant :
- fourniture et pose du goutte à goutte enterrable de diamètre 16 avec espace entre goutteur 35cm,
- fourniture de tous les raccords nécessaires,
- mise en boucle de chaque réseau,
y compris toutes sujétions.
Ce prix s'applique au mètre linéaire mesuré en place,</t>
  </si>
  <si>
    <t xml:space="preserve"> E403</t>
  </si>
  <si>
    <t>Matériels de raccordement particulier</t>
  </si>
  <si>
    <t xml:space="preserve"> E40301</t>
  </si>
  <si>
    <t>Fourniture et pose d'un collier de prise en charge</t>
  </si>
  <si>
    <t>Fourniture et pose d'un collier de prise en charge
Ce prix s'applique à l'unité comptée en place,</t>
  </si>
  <si>
    <t xml:space="preserve"> E40302</t>
  </si>
  <si>
    <t>Fourniture et pose d'union démontable en PVC</t>
  </si>
  <si>
    <t>Fourniture et pose d'union démontable en PVC
Ce prix s'applique à l'unité comptée en place,</t>
  </si>
  <si>
    <t xml:space="preserve"> E404</t>
  </si>
  <si>
    <t>Fourniture et pose d'accessoires</t>
  </si>
  <si>
    <t xml:space="preserve"> E40401</t>
  </si>
  <si>
    <t>Fourniture et pose de fourreau PVC Ø 120</t>
  </si>
  <si>
    <t>Fourniture et pose de fourreau PVC Ø 120 comprenant :
- La fourniture de fourreau en PVC 120 avec bague
- la pose des canalisations et les raccordements entre les éléments,
y compris toutes sujétions.
Ce prix s'applique au mètre linéaire mesuré en place,</t>
  </si>
  <si>
    <t xml:space="preserve"> E40402</t>
  </si>
  <si>
    <t>Fourniture et pose de fourreau PVC Ø 80</t>
  </si>
  <si>
    <t>Fourniture et pose de fourreau PVC Ø 80 comprenant :
 - La fourniture de fourreau en PVC 80 avec bague
 - la pose des canalisations y compris les raccordements,
y compris toutes sujétions.
Ce prix s'applique au mètre linéaire mesuré en place,</t>
  </si>
  <si>
    <t xml:space="preserve"> E40403</t>
  </si>
  <si>
    <t>Fourniture et pose de grillage avertisseur bleu</t>
  </si>
  <si>
    <t>Fourniture et pose de grillage avertisseur bleu
Ce prix s'applique au mètre linéaire mesuré en place,</t>
  </si>
  <si>
    <t xml:space="preserve"> E40404</t>
  </si>
  <si>
    <t>Fourniture de téflon en rouleau</t>
  </si>
  <si>
    <t>Fourniture de téflon en rouleau
Ce prix s'applique à l'unité comptée en place,</t>
  </si>
  <si>
    <t xml:space="preserve"> E40405</t>
  </si>
  <si>
    <t>Exécution d'un dallage en béton désactivé, épaisseur 20 cm pour chaussée (voir C.C.T.P.) comprenant :
- la fourniture et la mise en oeuvre du béton avec fibres et granulats 10/14 La Flèche et Saint Fraimbault,
- la fourniture et la mise en oeuvre du coffrage de rive,
- l'humidification de la plate-forme,
- le talochage et le lissage,
- la fourniture et la mise en place des joints en P.V.C ou le moulage ou le sciage,
- l'application du désactivant et la finition au désactivant de surface,
- le lavage et la cure du béton.
Ce prix s'applique au mètre carré de surface mesurée en place,</t>
  </si>
  <si>
    <t xml:space="preserve"> G304</t>
  </si>
  <si>
    <t>Revêtements produits spéciaux coulés en place, liant de synthèse</t>
  </si>
  <si>
    <t xml:space="preserve"> G30401</t>
  </si>
  <si>
    <t>Fourniture et pose de fourreau en attente
Ce prix s'applique au mètre linéaire mesuré en place,</t>
  </si>
  <si>
    <t>MAÇONNERIE ET GENIE CIVIL</t>
  </si>
  <si>
    <t xml:space="preserve"> F1</t>
  </si>
  <si>
    <t>Fondations</t>
  </si>
  <si>
    <t xml:space="preserve"> F101</t>
  </si>
  <si>
    <t>Hérisson</t>
  </si>
  <si>
    <t xml:space="preserve"> F10101</t>
  </si>
  <si>
    <t>Réalisation d'un hérisson de pierre sèche 40/70</t>
  </si>
  <si>
    <t>Réalisation d'un hérisson de pierre sèche 40/70, comprenant :
 - la fourniture, le transport et la mise en place de matériaux pierreux 40/70,
y compris toutes sujétions.
Ce prix s'applique au mètre cube de matériaux mesuré en place,</t>
  </si>
  <si>
    <t xml:space="preserve"> F102</t>
  </si>
  <si>
    <t>Béton de propreté</t>
  </si>
  <si>
    <t xml:space="preserve"> F10201</t>
  </si>
  <si>
    <t>Réalisation d'un béton de propreté dosé à 150 kg/m3</t>
  </si>
  <si>
    <t>Réalisation d'un béton de propreté dosé à 150 kg/m3, comprenant :
 - la fourniture d’un béton de propreté dosé à 150kg / m3,
 - la mise en œuvre du béton sur une épaisseur de 5 cm,
 - le réglage du béton ,
y compris toutes sujétions.
Ce prix s'applique au mètre cube mesuré en place,</t>
  </si>
  <si>
    <t xml:space="preserve"> F103</t>
  </si>
  <si>
    <t>Dalle de fondation en béton armé</t>
  </si>
  <si>
    <t xml:space="preserve"> F10301</t>
  </si>
  <si>
    <t>Exécution d'une dalle de fondation en béton armé</t>
  </si>
  <si>
    <t>Exécution d'une dalle de fondation en béton armé,  comprenant :
- la fourniture, façonnage et la mise en place des armatures du type treillis soudé maille 15 x 15 cm,
- la fourniture et la mise en œuvre de béton de gravillons 6,3/2,5 dosé à 350 kg ep. = 12 cm (classe CPJ CEM II 32,5) ,
- la confection des joints de retrait transversaux,
- les produits de cure et adjuvants éventuels autorisés par le Maître d'œuvre,
y compris toutes sujétions.
Ce prix s'applique au mètre cube de matériaux mesuré en place,</t>
  </si>
  <si>
    <t xml:space="preserve"> F104</t>
  </si>
  <si>
    <t>Réalisation d'un  béton non armé</t>
  </si>
  <si>
    <t xml:space="preserve"> F10401</t>
  </si>
  <si>
    <t>Réalisation d'un béton non armé dosé à 250kg/m3</t>
  </si>
  <si>
    <t>Réalisation d'un béton non armé dosé à 250kg/m3, comprenant :
- la mise en œuvre du béton non armé dosé à 250 kg/m3,
- la remise en état des abords de la fouille,
y compris toutes sujétions.
Ce prix s'applique au mètre cube mesuré en place,</t>
  </si>
  <si>
    <t xml:space="preserve"> F105</t>
  </si>
  <si>
    <t>Réalisation d'un  béton armé</t>
  </si>
  <si>
    <t xml:space="preserve"> F10501</t>
  </si>
  <si>
    <t>Réalisation d'un béton armé dosé à 350kg/m3</t>
  </si>
  <si>
    <t>Fourniture et pose de pavé mosaïque 10x10x10  en granit, sur mortier avec la face supérieure grenaillée, comprenant :
- le règlement soigné de l'encaissement,
- la fourniture des pavés gris bleuté identique au gris bleuté de Louvigné,
- le transport et le déchargement,
- la fourniture à pied d'œuvre et la mise en œuvre de tous agrégats et du liant. Le mortier sera de type : ciment CPJ CEM II 32,5,
- la fondation de mortier dosé à 350kg/m3 de 0,05 m d'épaisseur environ
- la réalisation éventuelle de solins en limite d'arrêt des pavages, pour les éventuelles reprises ultérieures,
- la reprise éventuelle des zones pavées rendue nécessaire par le phasage,
- la pose des pavés selon calepinage défini par le maître d'oeuvre,
- le garnissage des joints au mortier de ciment,
- le nettoyage des pavés,
y compris toutes sujétions.
Ce prix s'applique au mètre carré de surface mesurée en place,</t>
  </si>
  <si>
    <t xml:space="preserve"> G40103</t>
  </si>
  <si>
    <t>Fourniture et pose de pavé échantillon 14x20x14 en grès, sur mortier</t>
  </si>
  <si>
    <t>Fourniture et pose de pavé échantillon 14x20x14 en grès, sur mortier comprenant :
- le règlement soigné de l'encaissement,
- la fourniture,
- le transport et le déchargement,
- la fourniture à pied d'œuvre et la mise en œuvre de tous agrégats et du liant. Le mortier sera de type : ciment CPJ CEM II 32,5,
- la fondation de mortier dosé à 350kg/m3 de 0,05 m d'épaisseur environ,
- la réalisation éventuelle de solins en limite d'arrêt des pavages, pour les éventuelles reprises ultérieures,
- la reprise éventuelle des zones pavées rendues nécessaires par le phasage,
- la pose des pavés selon calepinage défini par le maître d'oeuvre,
- le garnissage des joints au mortier de ciment,
- le nettoyage des pavés,
y compris toutes sujétions.
Ce prix s'applique au mètre carré de surface mesurée en place,</t>
  </si>
  <si>
    <t xml:space="preserve"> G40104</t>
  </si>
  <si>
    <t>Fourniture et pose de pavé échantillon 14x20x14 en granit sur fondation de sable de 0,10 m avec joints gazon</t>
  </si>
  <si>
    <t>Fourniture et pose de Potelet anti stationnement à clef,
(voir Cahier des Prescriptions Générales de l' Espace Public de la Ville de Rennes, Fiche technique n° S-15), comprenant :
- les potelets acier de hauteur hors sol 0,80m, Ø76mm,
- la galvanisation à chaud,  thermolaquage coloris RAL 7026,
- la fixation dans massifs béton, par carottage et mortier de ciment ou platine vissée
 y compris toutes sujétions.
Ce prix s'applique à l' unité comptée en place,</t>
  </si>
  <si>
    <t xml:space="preserve"> H20110</t>
  </si>
  <si>
    <t>Fourniture et pose d'un Garde-corps de protection piétons  (Garde-corps VdR) avec lisse métallique</t>
  </si>
  <si>
    <t>Fourniture et pose d'un Garde-corps de protection piétons, avec lisse métallique,
voir Cahier des Prescriptions Générales de l' Espace Public de la Ville de Rennes (Fiche technique n° S-19), comprenant : 
- le garde-corps en acier, hauteur hors sol 1,02m par module de 1,45m de longueur,
- la galvanisation à chaud, thermolaquage RAL 7026 
- la fixation par platines vissées ou par scellement dans massifs béton,
y compris toutes sujétions.
Ce prix s'applique au mètre linéaire posé et mesuré sur place</t>
  </si>
  <si>
    <t xml:space="preserve"> H20111</t>
  </si>
  <si>
    <t>Fourniture et pose d'un Garde-corps de protection piétons  (Garde-corps VdR), avec lisse bois</t>
  </si>
  <si>
    <t>Fourniture et pose de Garde-corps de protection piétons, avec lisse bois,
(voir Cahier des Prescriptions Générales de l' Espace Public de la Ville de Rennes, Fiche technique n° S-19), comprenant : 
- le garde-corps en acier,  hauteur hors sol 1,02m par module de 1,45m de longueur,
- la galvanisation à chaud, thermolaquage RAL 7026 
- la lisse bois de Ø 6cm, coloris naturel,
- la fixation par platines vissées ou par scellement dans massifs béton,
y compris toutes sujétions.
- Ce prix s'applique au mètre linéaire posé et mesuré sur place</t>
  </si>
  <si>
    <t xml:space="preserve"> H20112</t>
  </si>
  <si>
    <t>Fourniture et pose d'un Garde-corps inox avec câble marine</t>
  </si>
  <si>
    <t>Fourniture et pose de brique, type PACEMA ou équivalent, posée à plat sur mortier</t>
  </si>
  <si>
    <t>Fourniture et pose de corbeille tulipe
(voir  Cahier des Prescriptions Générales de l' Espace Public de la Ville de Rennes, livret espaces verts: Fiche descriptive n° 2.1), comprenant :
- la corbeille en fers plats électro-soudés avec ouverture évasée,  
- le bac intérieur amovible en tôle de 15ou 20 litres,
- la peinture Epoxy coloris RAL 7026,
- la  fixation dans massif béton,
y compris toutes sujétions.
Ce prix s'applique à l' unité comptée en place,</t>
  </si>
  <si>
    <t xml:space="preserve"> H203</t>
  </si>
  <si>
    <t>Fourniture et pose de  mobilier d'information et de communication</t>
  </si>
  <si>
    <t xml:space="preserve"> H20301</t>
  </si>
  <si>
    <t>Fourniture et pose de vitrine extérieure
(armoire à règlement)</t>
  </si>
  <si>
    <t>Fourniture et pose de vitrine extérieure ( armoire à règlements )
(voir  Cahier des Prescriptions Générales de l' Espace Public de la Ville de Rennes, livret espaces verts: Fiche descriptive n° 3.1) comprenant:
- l'encadrement aluminium brossé,
- la façade vitrée ouvrante avec serrure, 
- le fond tôle laquée,
- l'étanchéité aux intempéries, avec système anti-condensation, 
- la fixation sur façades ou sur mât scellé
y compris toutes sujétions.
Ce prix s'applique à l' unité comptée en place,</t>
  </si>
  <si>
    <t xml:space="preserve"> H20302</t>
  </si>
  <si>
    <t>Fourniture et pose de mats signalétiques des jardins</t>
  </si>
  <si>
    <t>Fourniture et pose de mats signalétiques des jardins
(voir  Cahier des Prescriptions Générales de l' Espace Public de la Ville de Rennes, livret espaces verts: Fiche descriptive n° 3.2), comprenant :
- la plaque en acier galvanisé de 0,67x0,50m ou de 0,50x0,40m,
- la plaque coloris RAL 7036 et 7026,
- le titrage blanc,
- le logo vert pantone 355,
- la crosse et mât coloris RAL 7026,
- le mât type Ville de Rennes réf:P5 
- la fixation par scellement dans massif béton de 0,30x030x0,50cm,
y compris toutes sujétions.
Ce prix s'applique à l' unité comptée en place,</t>
  </si>
  <si>
    <t xml:space="preserve"> H20303</t>
  </si>
  <si>
    <t>Fourniture et pose de plaque murale de signalétique des jardins, parcs et squares</t>
  </si>
  <si>
    <t>Fourniture et pose de plaque murale de signalétique des jardins, parcs et squares
(voir  Cahier des Prescriptions Générales de l' Espace Public de la Ville de Rennes, livret espaces verts: Fiche descriptive n° 3.3), comprenant : 
- la plaque en acier galvanisé de 0,67x0,50m ou de 0,50x0,40m,
- la plaque coloris RAL 7036 et 7026,
- le titrage blanc,
- le logo vert pantone 355,
- la fixation sur façade ou sur grille,
y compris toutes sujétions.
Ce prix s'applique à l' unité comptée en place,</t>
  </si>
  <si>
    <t xml:space="preserve"> H20304</t>
  </si>
  <si>
    <t>Fourniture et pose de Support de signalisation de police entrée sortie de zone 30</t>
  </si>
  <si>
    <t>Fourniture et pose de Support de signalisation de police entrée sortie de zone 30
(voir  Cahier des Prescriptions Générales de l' Espace Public de la Ville de Rennes, livret espaces verts: Fiche descriptive n° V - 8), comprenant :
- le support de 2,15x096m (entre axe des poteaux : 0,87m
- le treillis soudé mailles de 100x50mm, fil de 6mm,
- la galvanisation à chaud, la mise en peinture par thermolaquage coloris RAL 7026,
- le support peut être fixé dans 2 buses Inotechna ou similaire scellés dans des massifs béton de 35x35x40cm, pour démontage,
- la pose,
y compris toutes sujétions.
Ce prix s'applique à l' unité comptée en place,
Coût de fourniture en fonction des dimensions :
- a) 1050x750 :220€ H.T
- b) 1500x750 :240€ H.T
- a) 1750x750 :250€ H.T
- a) 2000x750 :270€ H.T</t>
  </si>
  <si>
    <t xml:space="preserve"> H20305</t>
  </si>
  <si>
    <t>Fourniture et pose de panneau de règlement des aires de jeux</t>
  </si>
  <si>
    <t>Fourniture et pose de panneau de règlement des aires de jeux
(voir  Cahier des Prescriptions Générales de l' Espace Public de la Ville de Rennes, livret espaces verts: Fiche descriptive n° 3.4) comprenant:
- plaque galbée en acier galvanisé de 0,60x060m
- texte informatif et réglementaire, suivant maquette Ville de Rennes,
- fixation sur poteau scellé, clôture ou façade,
y compris toutes sujétions.
Ce prix s'applique à l' unité comptée en place,</t>
  </si>
  <si>
    <t xml:space="preserve"> H20306</t>
  </si>
  <si>
    <t>Fourniture et pose de panneau accès des parcs aux chiens
Renouvellement P. Louédec</t>
  </si>
  <si>
    <t>Fourniture et pose de dallette en porphyre, ép.5cm, (type opus romain) sur mortier, comprenant :
- le règlement soigné de la forme,
- la fourniture des dallettes de porphyre de 5 cm d'épaisseur,
- le transport,
- le déchargement,
- la fourniture et la mise en place du lit de mortier de 4 à 8 cm d'épaisseur et de la barbotine,
- la confection des joints au mortier de ciment,
- le nettoyage des dallettes,
y compris toutes sujétions.
Ce prix s'applique au mètre carré de surface mesurée en place,</t>
  </si>
  <si>
    <t xml:space="preserve"> G40403</t>
  </si>
  <si>
    <t>Fourniture et pose de dalle en granit, ép. 10cm sur une fondation de sable de 0,04 m avec joints gazon</t>
  </si>
  <si>
    <t>Fourniture et pose de dalle en granit, ép. 10cm sur une fondation de sable de 0,04 m avec joints gazon, comprenant :
- le règlement soigné de la forme,
- la fourniture des dalles granit,
- le transport,
- le déchargement,
- la fourniture et mise en œuvre du sable pour le lit de pose,
- la pose des dalles selon calepinage défini par le maître d'oeuvre,
- le garnissage des joints à la terre émiettée,
- l'ensemencement de joints, l'enfouissement des graines,
- le cylindrage.
y compris toutes sujétions.
Ce prix s'applique au mètre carré de surface mesurée en place,</t>
  </si>
  <si>
    <t xml:space="preserve"> G40404</t>
  </si>
  <si>
    <t>Fourniture et pose de dalle en pierre naturelle, ép. 5cm (ardoise, etc.) sur fondation de sable 0,04m avec joints gazon,</t>
  </si>
  <si>
    <t>Fourniture et pose de dalle en pierre naturelle, ép. 5cm (ardoise, etc.) sur fondation de sable 0,04m avec joints gazon, comprenant :
- le règlement soigné de la forme,
- la fourniture des dalles en pierre naturelle (ardoise, etc.) ,
- le transport,
- le déchargement,
- la fourniture et mise en œuvre du sable pour le lit de pose,
- la pose des dalles selon calepinage défini par le maître d'oeuvre,
- le garnissage des joints à la terre émiettée,
- l'ensemencement de joints, l'enfouissement des graines,
- le cylindrage.
y compris toutes sujétions.
Ce prix s'applique au mètre carré de surface mesurée en place,</t>
  </si>
  <si>
    <t xml:space="preserve"> G405</t>
  </si>
  <si>
    <t>Dallages en matériaux reconstitués</t>
  </si>
  <si>
    <t xml:space="preserve"> G40501</t>
  </si>
  <si>
    <t>Réalisation d'un couronnement de muret en brique à plat,</t>
  </si>
  <si>
    <t>Réalisation d'un couronnement de muret en brique à plat, comprenant :
- La présentation au maître d'œuvre de plusieurs échantillons de la brique pour validation,
- la fourniture et la mise en œuvre des briques,
- le scellement au mortier, des briques posées à plat .
- le respect des détails de calepinage (voir carnet de détails),
- la confection des joints plats au mortier de ciment  ép. = 1 cm ,
- le nettoyage de la laitance des joints,
y compris toutes sujétions.
Ce prix s'applique au mètre carré, mesuré en place,</t>
  </si>
  <si>
    <t xml:space="preserve"> F20603</t>
  </si>
  <si>
    <t>Réalisation d'un couronnement de muret en pierre, largeur entre 0,30 et 0,50m</t>
  </si>
  <si>
    <t>Fourniture et pose de dalles souples pour jeux multifonctionnels, comprenant :
- la fourniture des dalles selon les dimensions définies par le maître d'oeuvre,
- la fourniture et mise en oeuvre de la colle selon recommandations du fournisseur,
- la découpe des dalles,
- à l'issue de la pose, tests HIC avec fourniture du rapport, 
Ce prix s'applique au mètre carré de surface mesurée en place,</t>
  </si>
  <si>
    <t xml:space="preserve"> H</t>
  </si>
  <si>
    <t>EQUIPEMENTS</t>
  </si>
  <si>
    <t xml:space="preserve"> H1</t>
  </si>
  <si>
    <t>Clôture, portails, portillons, pergola, garde corps, main courante, …</t>
  </si>
  <si>
    <t xml:space="preserve"> H101</t>
  </si>
  <si>
    <t>Fourniture et pose de serrurerie industrielle</t>
  </si>
  <si>
    <t xml:space="preserve"> H10101</t>
  </si>
  <si>
    <t>Exécution mécanique des terrassements en déblai/remblai comprenant : 
- les piquetages complémentaires,
- la protection contre les eaux de toutes natures pendant l'exécution des déblais,
- l'extraction des terres,
- l'exécution éventuelle des purges,
- le chargement, le transport, le déchargement et la réalisation en déblai/remblai du modelé de sol,
- la mise en dépôt provisoire des déblais excédentaires à l'intérieur du chantier,
- l'évacuation des déblais excédentaires à la décharge de l'entreprise,
y compris toutes sujétions.
Ce prix s'applique au mètre cube de matériaux mesuré en place,</t>
  </si>
  <si>
    <t xml:space="preserve"> C10102</t>
  </si>
  <si>
    <t>Exécution mécanique des terrassements en déblai avec gros engins</t>
  </si>
  <si>
    <t>Essouchement d' un arbre type petit sujet, diamètre jusqu'à 15cm, à l' aide de la pelle mécanique, comprenant :
- l'installation d' un périmètre de protection,
- l'enlèvement de la  souche de l'arbre à l'aide d'une pelle mécanique munie de dents,
- le grattage, le rabotage, et l'éclatement de la souche à l'aide de la pelle,
- le chargement et l'évacuation des éléments à la décharge de l'Entreprise,
- le remblaiement immédiat de la fosse engendrée par l'arrachage de la souche,
- le nettoyage du terrain,
y compris toutes sujétions.
Ce prix s'applique à l'unité comptée en place,</t>
  </si>
  <si>
    <t xml:space="preserve"> B30402</t>
  </si>
  <si>
    <t>Essouchement d' un arbre type petit sujet, diamètre jusqu'à 15cm, à l' aide de la rogneuse</t>
  </si>
  <si>
    <t>Essouchement d' un arbre type petit sujet, diamètre jusqu'à 15cm, à l' aide de la rogneuse comprenant :
- l' installation d' un périmètre de protection,
- le rognage de la souche au moyen de l' engin approprié en fonction du lieu d' intervention,
-Le remblaiement immédiat de la fosse engendrée par le rognage de la souche (copeaux mélangés à de la terre),
- le nettoyage du terrain,
y compris toutes sujétions.
Ce prix s'applique à l'unité comptée en place,</t>
  </si>
  <si>
    <t xml:space="preserve"> B30403</t>
  </si>
  <si>
    <t>Essouchement d' un arbre type moyen sujet, diamètre jusqu'à  50 cm, à l' aide de la pelle mécanique</t>
  </si>
  <si>
    <t>Réalisation d'escalier en bordure granit et pavés comprenant :
- le coffrage
- la fondation en béton armé
- la fourniture et pose des bordures granit pour les nez de marches
- la fourniture et pose des pavés pour remplissage des girons. Joints de 1cm au mortier.
y compris toutes sujétions</t>
  </si>
  <si>
    <t xml:space="preserve"> F3</t>
  </si>
  <si>
    <t>Finition</t>
  </si>
  <si>
    <t xml:space="preserve"> F301</t>
  </si>
  <si>
    <t>Confection de joints</t>
  </si>
  <si>
    <t xml:space="preserve"> F30101</t>
  </si>
  <si>
    <t>Rejointoiement creux sur maçonnerie de pierre au mortier de ciment</t>
  </si>
  <si>
    <t xml:space="preserve"> F20605</t>
  </si>
  <si>
    <t>Réalisation d'un couronnement de muret à l' aide d'éléments de granit</t>
  </si>
  <si>
    <t>Réalisation d'un couronnement de muret à l'aide d'éléments de granit, comprenant :
- La présentation au maître d'œuvre de plusieurs échantillons de granit pour validation,
- la fourniture et la mise en œuvre des éléments de granit,
- le scellement au mortier, des éléments de granit,
- le respect des détails de calepinage (voir carnet de détails),
- la confection des joints plats au mortier de ciment,
- le nettoyage de la laitance des joints,
y compris toutes sujétions.
Ce prix s'applique au mètre cube de matériau mesuré en place,</t>
  </si>
  <si>
    <t xml:space="preserve"> F207</t>
  </si>
  <si>
    <t>Réalisation d'escaliers</t>
  </si>
  <si>
    <t xml:space="preserve"> F20701</t>
  </si>
  <si>
    <t>Réalisation d'escalier en bordure granit et pavés (6 marches)</t>
  </si>
  <si>
    <t>Fourniture et pose d'une clôture grillagée simple torsion,galvanisée et plastifiée, haute adhérence de hauteur 1.50 m comprenant :
- le terrassement quelque soit la nature du terrain pour scellement des poteaux,
- les poteaux tubulaires avec capuchon, galvanisés intérieur et extérieur, de longueur 2,00m, plastifié vert RAL 6005,  
- le scellement des poteaux dans massifs béton de 30x30x50cm, tous les 2,50m, 
- les poteaux de tension  avec jambes de force au début et à la fin de la clôture, à chaque changement de direction, tous les 50ml en ligne droite,
- le grillage, à mailles de 50mm en losange, en fil dur, Ø 3mm, avec picots en lisière des mailles supérieures, et mailles inférieures de lisière bouclées, plastifié vert RAL 6073
- les fils de tension en fil dur, Ø 3mm, galvanisé plastifié vert RAL 6073 avec tendeurs,
- le raccord entre les poteaux de début et fin et le grillage par barre de tension et fil d' attache,
- la pose,
- l' évacuation des déblais à la décharge de l'Entreprise,
 y compris toutes sujétions.
Ce prix s' applique au mètre linéaire posé et mesuré sur place</t>
  </si>
  <si>
    <t xml:space="preserve"> H10103</t>
  </si>
  <si>
    <t>Fourniture et pose d'une clôture grillagée simple torsion,galvanisée et plastifiée, haute adhérence de hauteur 2,00 m</t>
  </si>
  <si>
    <t>Fourniture et pose d'une clôture grillagée simple torsion,galvanisée et plastifiée, haute adhérence de hauteur 2,00 m comprenant :
- le terrassement quelque soit la nature du terrain pour scellement des poteaux,
- les poteaux tubulaires avec capuchon, galvanisés intérieur et extérieur, de longueur 2,50m, plastifié vert RAL 6005,
- le scellement des poteaux dans massifs béton de 30x30x50cm, tous les 2,50m, 
- les poteaux de tension  avec jambes de force au début et à la fin de la clôture, à chaque changement de direction, tous les 50ml en ligne droite,
- le grillage, à mailles de 50mm en losange, en fil dur, Ø 4,5mm, avec picots en lisière des mailles supérieures, et mailles inférieures de lisière bouclées,plastifié vert RAL 6073
- les fils de tension en fil dur, Ø 4,5mm, galvanisé plastifié vert RAL 6073 avec tendeurs,
- le raccord entre les poteaux de début et fin et le grillage par barre de tension et fil d' attache
- la pose, 
- l' évacuation des déblais à la décharge de l'Entreprise,
y compris toutes sujétions.
Ce prix s' applique au mètre linéaire posé et mesuré sur place</t>
  </si>
  <si>
    <t xml:space="preserve"> H10104</t>
  </si>
  <si>
    <t>Fourniture et pose d'une clôture en panneaux de treillis soudé, galvanisé, plastifié de hauteur 0,63m</t>
  </si>
  <si>
    <t>Fourniture et pose d'une clôture en panneaux de treillis soudé, galvanisé, plastifié de hauteur 0,63m, comprenant :
- le terrassement quelque soit la nature du terrain pour scellement des poteaux
- les poteaux tubulaires avec capuchon, galvanisés intérieur et extérieur, de longueur 1,00m, plastifiés RAL 7026, 
- le scellement des poteaux dans massifs béton de 30x30x50cm, tous les 2,50m,
- les panneaux de 2,50m de large à mailles rectangulaires de 200x50mm, Ø du fil 5mm 2 plis horizontaux, picots défensifs d' un seul côté, plastifiés RAL 7026,
- la pose, 
- l' évacuation des déblais à la décharge de l'Entreprise,
y compris toutes sujétions.
Ce prix s'applique au mètre linéaire posé et mesuré sur place</t>
  </si>
  <si>
    <t xml:space="preserve"> H10105</t>
  </si>
  <si>
    <t>Fourniture et pose d'une grille arbre, type n°2 de 1,50x1,50m pour voirie lourde</t>
  </si>
  <si>
    <t>Fourniture et pose d'une clôture en panneaux de treillis soudé, galvanisé, plastifié de hauteur 1,53m, comprenant :
- le terrassement quelque soit la nature du terrain pour scellement des poteaux
- les poteaux tubulaires avec capuchon, galvanisés intérieur et extérieur, de longueur 2,00m, plastifiés RAL 7026, 
- le scellement des poteaux dans massifs béton de 30x30x50cm, tous les 2,50m,
- les panneaux de 2,50m de large à mailles rectangulaires de 200x50mm, Ø du fil 5mm, 3 plis horizontaux, picots défensifs d' un seul côté, plastifiés RAL 7026,
- la pose, 
- l' évacuation des déblais à la décharge de l'Entreprise,
y compris toutes sujétions.
Ce prix s'applique au mètre linéaire posé et mesuré sur place</t>
  </si>
  <si>
    <t xml:space="preserve"> H10108</t>
  </si>
  <si>
    <t>Fourniture et pose d'une clôture en panneaux de treillis soudé, galvanisé, plastifié de hauteur 1,73m</t>
  </si>
  <si>
    <t>Fourniture et pose d'une clôture en panneaux de treillis soudé, galvanisé, plastifié de hauteur 1,73m, comprenant :
- le terrassement quelque soit la nature du terrain pour scellement des poteaux
- les poteaux tubulaires avec capuchon, galvanisés intérieur et extérieur, de longueur 2,20m, plastifiés RAL 7026, 
- le scellement des poteaux dans massifs béton de 30x30x50cm, tous les 2,50m,
- les panneaux de 2,50m de large à mailles rectangulaires de 200x50mm, Ø du fil 5mm, 3 plis horizontaux, picots défensifs d' un seul côté, plastifiés RAL 7026,
- la pose, 
- l' évacuation des déblais à la décharge de l'Entreprise,
y compris toutes sujétions.
Ce prix s'applique au mètre linéaire posé et mesuré sur place</t>
  </si>
  <si>
    <t xml:space="preserve"> H10109</t>
  </si>
  <si>
    <t>Fourniture et pose d'une clôture en panneaux de treillis soudé, galvanisé, plastifié de hauteur 2,03m</t>
  </si>
  <si>
    <t>Fourniture et pose d' un toboggan en contre-plaqué en acier, comprenant :
- les flancs en contre-plaqué de très haute qualité de 18mm d'épaisseur minimum et chants arrondis,
- la mise en peinture réalisée par pulvérisation de laque polyuréthane avec couche de finition vernie,
- la descente en acier inoxydable gaufré avec sortie arrondie,
- l'escalier et la plateforme d'accès,
- l'ancrage au sol dans massifs de béton,
- la plaque avec logo et information sécurité,
- la pose,
y compris toutes sujétions.
Ce prix s'applique à l' unité comptée en place,</t>
  </si>
  <si>
    <t xml:space="preserve"> H30104</t>
  </si>
  <si>
    <t>Fourniture et pose d' un toboggan tube pour talus</t>
  </si>
  <si>
    <t>Fourniture et pose d' un toboggan tube pour talus pour pente 35° environ comprenant:
- tube de  0,80m,de diamètre en acier inoxydable
- plate-forme de départ et poteaux de soutien ancrés dans des massifs béton,
- la plaque avec logo et information sécurité,
- la pose,
y compris toutes sujétions.
Ce prix s'applique à l' unité comptée en place,</t>
  </si>
  <si>
    <t xml:space="preserve"> H30105</t>
  </si>
  <si>
    <t>Fourniture et pose d' une maisonnette</t>
  </si>
  <si>
    <t>Fourniture et pose d' une maisonnette, comprenant :
- les panneaux en aggloméré inaltérable avec mise en peinture réalisée par pulvérisation de laque polyuréthane avec couche de finition vernie,
- le toit en aggloméré inaltérable recouvert en surface d' un film de résine phénolique antidérapante,
- le plancher en pin traité classe 4
- ancrage au sol dans massifs béton,
- la plaque avec logo et information sécurité,
- la pose,
y compris toutes sujétions.
Ce prix s'applique à l' unité comptée en place,</t>
  </si>
  <si>
    <t xml:space="preserve"> H30106</t>
  </si>
  <si>
    <t>Fourniture et pose d' une balançoire 2 places, pour enfants de 2 à 10 ans</t>
  </si>
  <si>
    <t>Fourniture et pose d' une balançoire 2 places, pour enfants de 3à 6 ans, comprenant :
- le portique en tube d'acier électrogalvanisé de Ø 115 et 90mm avec primaire et peinture par poudrage,
- 2 sièges anti-chocs, en caoutchouc moulé avec armature métallique dont un de type nacelle,
- les chaînes à maillons courts galvanisés à chaud, gainées ou non,
- l'ancrage du portique par scellement ou fixation dans ou sur des massifs béton,
- la plaque avec logo et information sécurité,
- la pose,
y compris toutes sujétions.
Ce prix s'applique à l' unité comptée en place,</t>
  </si>
  <si>
    <t xml:space="preserve"> H30107</t>
  </si>
  <si>
    <t>Fourniture et pose d' un manège</t>
  </si>
  <si>
    <t>Fourniture et pose d'un portillon à barreaudage de largeur 1,50m et de hauteur 1,03m,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 système de fermeture, arrêtoir,
-  la galvanisation à chaud, la mise en peinture par thermolaquage coloris RAL 7026
- la pose, 
- l' évacuation des déblais à la décharge de l'Entreprise,
y compris toutes sujétions.
Ce prix s'applique à l'unité comptée en place,</t>
  </si>
  <si>
    <t xml:space="preserve"> H10121</t>
  </si>
  <si>
    <t>Fourniture et pose d'un portillon à barreaudage de largeur 1,50m et de hauteur 1,23m,</t>
  </si>
  <si>
    <t>Fourniture et pose d'un portillon à barreaudage de largeur 1,50m et de hauteur 1,23m,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 système de fermeture, arrêtoir,
-  la galvanisation à chaud, la mise en peinture par thermolaquage coloris RAL 7026
- la pose, 
- l' évacuation des déblais à la décharge de l'Entreprise,
y compris toutes sujétions.
Ce prix s'applique à l'unité comptée en place,</t>
  </si>
  <si>
    <t xml:space="preserve"> H10122</t>
  </si>
  <si>
    <t>Fourniture et pose d' un portillon à barreaudage de largeur 1,50m et de hauteur 1,73m</t>
  </si>
  <si>
    <t>Fourniture et pose de bordure en barrette de schiste mauve posée sur chant, (0.25x0.10x0.04m), comprenant :
- la fourniture et la mise en place du mortier,
- la fourniture et la pose des barrettes de schiste
- la confection des joints au mortier de ciment.
Ce prix s'applique au mètre linéaire mesuré en place,</t>
  </si>
  <si>
    <t xml:space="preserve"> G10134</t>
  </si>
  <si>
    <t>Fourniture et pose de bordure en barrette de schiste mauve posée à plat/boutisse, largeur 250</t>
  </si>
  <si>
    <t>Fourniture et pose de bordure en barrette de schiste mauve posée à plat/boutisse,  largeur 250 mm comprenant :
- la fourniture et la mise en place du mortier,
- la fourniture et la pose des barrettes de schiste
- la confection des joints au mortier de ciment.
Ce prix s'applique au mètre linéaire mesuré en place,</t>
  </si>
  <si>
    <t xml:space="preserve"> G10135</t>
  </si>
  <si>
    <t>Fourniture et pose de bordure en barrette de schiste mauve posée à plat/panneresse,  largeur 300</t>
  </si>
  <si>
    <t>Fourniture et pose de bordure en barrette de schiste mauve posée à plat/panneresse,  largeur 300 mm, comprenant :
- la fourniture et la mise en place du mortier,
- la fourniture et la pose des barrettes de schiste
- la confection des joints au mortier de ciment.
Ce prix s'applique au mètre linéaire mesuré en place,</t>
  </si>
  <si>
    <t xml:space="preserve"> G102</t>
  </si>
  <si>
    <t>Bordures en matériaux reconstitués</t>
  </si>
  <si>
    <t xml:space="preserve"> G10201</t>
  </si>
  <si>
    <t>Fourniture et pose de bordure T2 en alignement droit ou courbe</t>
  </si>
  <si>
    <t>Fourniture et pose de bordure T2 en alignement droit ou courbe comprenant :
- la fourniture des bordures T2,    
- le règlement du fond d'encaissement,
- la fondation de béton de ciment de 0,10 m d'épaisseur en section normale (voir CCTP) 
- l'exécution des joints. 
Ce prix s'applique au mètre linéaire mesuré en place,</t>
  </si>
  <si>
    <t xml:space="preserve"> G10202</t>
  </si>
  <si>
    <t>Fourniture et pose de bordure P1 en alignement droit ou courbe</t>
  </si>
  <si>
    <t>Fourniture et pose de bordure P1 en alignement droit ou courbe comprenant :
- la fourniture des bordures P1,
- le règlement du fond d'encaissement,
- la fondation de béton de ciment de 0,05 m d'épaisseur (voir CCTP) 
- l'exécution des joints. 
Ce prix s'applique au mètre linéaire mesuré en place,</t>
  </si>
  <si>
    <t xml:space="preserve"> G10203</t>
  </si>
  <si>
    <t>Reprise terre végétale en stock hors chantier comprenant :
- la reprise de la terre végétale hors chantier et acheminement,
- la répartition de la terre végétale sur le chantier y compris toutes sujétions de mise en place à raison de : 
15cm pour les prairies,
30cm pour pelouse,
60 cm pour les massifs,
et 1,10 pour les arbres,
Ce prix s'applique au mètre cube de matériau mis en oeuvre,</t>
  </si>
  <si>
    <t xml:space="preserve"> D102</t>
  </si>
  <si>
    <t>Fourniture de  terre végétale</t>
  </si>
  <si>
    <t xml:space="preserve"> D10201</t>
  </si>
  <si>
    <t>Fourniture transport et mise en place de la terre végétale, sans reprise</t>
  </si>
  <si>
    <t>Fourniture transport et mise en place de la terre végétale, sans reprise comprenant :
la fourniture et livraison de la terre végétale sur le chantier,
- la répartition de la terre végétale sur les zones de plantation y compris toutes sujétions de mise en place à raison de :
15cm pour les prairies,
30cm pour pelouse,
60 cm pour les massifs,
et 1,10 pour les arbres,
- y compris les analyses de terre réalisées conformément au CCTP
Ce prix s'applique au mètre cube de matériau mis en oeuvre,</t>
  </si>
  <si>
    <t xml:space="preserve"> D10202</t>
  </si>
  <si>
    <t>Plus-value au prix D1-02-01 pour reprise mécanique</t>
  </si>
  <si>
    <t>Plus-value au prix D1-02-01 pour reprise mécanique comprenant :
- reprise et acheminement par engin mécanique de la terre végétale sur les zones de plantation.
Ce prix s'applique au mètre cube de matériau mis en oeuvre,</t>
  </si>
  <si>
    <t xml:space="preserve"> D10203</t>
  </si>
  <si>
    <t>Plus-value au prix D1-02-01 pour reprise manuelle</t>
  </si>
  <si>
    <t>Plus-value au prix D1-02-01 pour reprise manuelle comprenant :
- reprise et acheminement par chargement manuel de la terre végétale sur les zones de plantation.
Ce prix s'applique au mètre cube de matériau mis en oeuvre,</t>
  </si>
  <si>
    <t xml:space="preserve"> D103</t>
  </si>
  <si>
    <t>Fourniture de terre de bruyère</t>
  </si>
  <si>
    <t xml:space="preserve"> D10301</t>
  </si>
  <si>
    <t>Fourniture de terre de bruyère comprenant :
- la fourniture et livraison de la terre de Bruyère sur le chantier,
- la répartition de la terre sur les zones de plantation y compris toutes sujétions de mise en place à raison de 60 cm pour les massifs,
Ce prix s'applique au mètre cube de matériau mis en oeuvre,</t>
  </si>
  <si>
    <t xml:space="preserve"> D2</t>
  </si>
  <si>
    <t>Fourniture de mélanges spéciaux</t>
  </si>
  <si>
    <t xml:space="preserve"> D201</t>
  </si>
  <si>
    <t>Fourniture et pose de bordure T2 granité en alignement droit ou courbe</t>
  </si>
  <si>
    <t>Fourniture et pose de bordure T2 granité en alignement droit ou courbe comprenant :
- la fourniture des bordures T2 granité,
- le règlement du fond d'encaissement,    
- la fondation de béton de ciment de 0,10 m d'épaisseur en section normale (voir CCTP) 
- l'exécution des joints. 
Ce prix s'applique au mètre linéaire mesuré en place,</t>
  </si>
  <si>
    <t xml:space="preserve"> G10204</t>
  </si>
  <si>
    <t>Fourniture et pose de bordure P1 granité en alignement droit ou courbe</t>
  </si>
  <si>
    <t>Fourniture et pose de bordure P1 granité en alignement droit ou courbe comprenant :
- la fourniture des bordures P1 granité,
- le règlement du fond d'encaissement,
- la fondation de béton de ciment de 0,05 m d'épaisseur (voir CCTP) 
- l'exécution des joints. 
Ce prix s'applique au mètre linéaire mesuré en place,</t>
  </si>
  <si>
    <t xml:space="preserve"> G10205</t>
  </si>
  <si>
    <t>Fourniture et pose de bordure droite à talon, n°32 préfabriquée en béton (h : 0,40m)</t>
  </si>
  <si>
    <r>
      <t xml:space="preserve">Dépose de  mobilier </t>
    </r>
    <r>
      <rPr>
        <b/>
        <sz val="10"/>
        <color indexed="10"/>
        <rFont val="Arial"/>
        <family val="2"/>
      </rPr>
      <t xml:space="preserve">d'information et de communication  </t>
    </r>
    <r>
      <rPr>
        <b/>
        <sz val="10"/>
        <rFont val="Arial"/>
        <family val="2"/>
      </rPr>
      <t>avec récupération</t>
    </r>
  </si>
  <si>
    <t>Fourniture et mise en œuvre de remblai avec gros engins comprenant:
- les piquetages complémentaires,
- la protection contre les eaux de toutes natures pendant l'exécution des remblais,
- le régalage et le compactage par couche de 30cm,
- la réalisation  du modelé de sol,
y compris toutes sujétions
Ce prix s'applique au mètre cube de matériaux mesuré en place,</t>
  </si>
  <si>
    <t xml:space="preserve"> C10105</t>
  </si>
  <si>
    <t>Fourniture et mise en œuvre de remblais  avec petits engins</t>
  </si>
  <si>
    <t>Fourniture et mise en œuvre de remblais  avec petits engins comprenant  :
- les piquetages complémentaires,
- la protection contre les eaux de toutes natures pendant l'exécution des remblais,
- le régalage et le compactage par couche de 30cm,
- la réalisation  du modelé de sol,
y compris toutes sujétions
Ce prix s'applique au mètre cube de matériaux mesuré en place :</t>
  </si>
  <si>
    <t xml:space="preserve"> C102</t>
  </si>
  <si>
    <t>Transport</t>
  </si>
  <si>
    <t xml:space="preserve"> C10201</t>
  </si>
  <si>
    <t>Transport de matériaux en dehors du chantier distance &lt; 5km</t>
  </si>
  <si>
    <t>Transport de matériaux en dehors du chantier distance &lt; 5km comprenant :
- l'évacuation des déblais par camion à la décharge de l'entreprise,
y compris toutes sujétions.
Ce prix s'applique au mètre cube de matériaux mesuré en place,</t>
  </si>
  <si>
    <t xml:space="preserve"> C10202</t>
  </si>
  <si>
    <t>Transport de matériaux en dehors du chantier distance &gt; 5km</t>
  </si>
  <si>
    <t>Fourniture et pose de pavé échantillon 14x20x14 pour exécution de chaînette, face supérieure grenaillée, comprenant :
- le règlement soigné de l'encaissement,
- la fourniture à pied d'œuvre de tous agrégats et du liant. le mortier sera de type : ciment CPJ CEM II 32,5,
- la confection de la fondation de béton de 0,10 m d'épaisseur,
- la pose des pavés,
- le mélange des pavés et des boutisses,
- le garnissage des joints au mortier de ciment,
- le nettoyage des pavés,
 y compris toutes sujétions.
Ce prix s'applique au mètre linéaire mesuré en place,</t>
  </si>
  <si>
    <t xml:space="preserve"> G10402</t>
  </si>
  <si>
    <t>Fourniture et pose de pavé mosaïque 10x10x10 pour exécution de chaînette</t>
  </si>
  <si>
    <t>Fourniture et pose de pavé mosaïque 10x10x10 pour exécution de chaînette, face supérieure grenaillée, comprenant :
- le règlement soigné de l'encaissement,
- la fourniture à pied d'œuvre de tous agrégats et du liant. le mortier sera de type : ciment CPJ CEM II 32,5,
- la confection de la fondation de béton de 0,10 m d'épaisseur,
- la pose des pavés,
- le garnissage des joints au mortier de ciment,
- le nettoyage des pavés,
 y compris toutes sujétions.
Ce prix s'applique au mètre linéaire mesuré en place,</t>
  </si>
  <si>
    <t xml:space="preserve"> G10403</t>
  </si>
  <si>
    <t>Repose de pavé de réemploi pour exécution de chaînette</t>
  </si>
  <si>
    <t>Repose de pavé de réemploi pour exécution de chaînette, comprenant :
- le règlement soigné de l'encaissement,
- la fourniture à pied d'œuvre de tous agrégats et du liant. le mortier sera de type : ciment CPJ CEM II 32,5,
- la confection de la fondation de béton de 0,10 m d'épaisseur,
- le tri et l'évacuation des mauvais éléments,
- le décrottage des pavés à utiliser, soit en provenance du chantier, soit en provenance du dépôt de la Ville de Rennes    
- la pose des pavés,
- le garnissage des joints au mortier de ciment,
- le nettoyage des pavés,
 y compris toutes sujétions.
Ce prix s'applique au mètre linéaire mesuré en place,</t>
  </si>
  <si>
    <t xml:space="preserve"> G105</t>
  </si>
  <si>
    <t>Chaînettes en matériaux reconstitués</t>
  </si>
  <si>
    <t xml:space="preserve"> G10501</t>
  </si>
  <si>
    <t>Fourniture et pose de chaînette de pavé béton 10x10 ou 12x12</t>
  </si>
  <si>
    <t>Fourniture et pose d'un portail à 2 vantaux à barreaudage de largeur 4,00m et de hauteur 1,23m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 unité comptée en place</t>
  </si>
  <si>
    <t xml:space="preserve"> H10137</t>
  </si>
  <si>
    <t>Fourniture et pose d' un portail à 2 vantaux à barreaudage de largeur 4,00m et de hauteur 1,53m</t>
  </si>
  <si>
    <t>Fourniture et pose d'un portail à 2 vantaux à barreaudage de largeur 4,00m et de hauteur 1,53m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 unité comptée en place</t>
  </si>
  <si>
    <t xml:space="preserve"> H10138</t>
  </si>
  <si>
    <t>Fourniture et pose d' un portail à 2 vantaux à barreaudage de largeur 4,00m et de hauteur 1,73m</t>
  </si>
  <si>
    <t>Fourniture et pose de caniveau module CC1 largeur 0,40m</t>
  </si>
  <si>
    <t>Fourniture et pose d'un portail à 2 vantaux à barreaudage de largeur 4,00m et de hauteur 1,73m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l'évacuation des déblais à la décharge de l'Entreprise,
y compris toutes sujétions.
Ce prix s'applique à l' unité comptée en place</t>
  </si>
  <si>
    <t xml:space="preserve"> H10139</t>
  </si>
  <si>
    <t>Fourniture et pose d' un portail à 2 vantaux à barreaudage de largeur 4,00m et de hauteur 2,03m</t>
  </si>
  <si>
    <t>Fourniture et pose d'un portail à 2 vantaux à barreaudage de largeur 4,00m et de hauteur 2,03m comprenant :
- le terrassement quelque soit la nature du terrain pour scellement des poteaux,
- 2 poteaux tubulaires avec capuchon, galvanisés intérieur et extérieur, section 80x80mm, scellés dans des massifs béton de 30x30x50cm,
-  cadre en tube profilé de 60x60mm avec barreaux de 25x25mm soudés verticalement avec écartement de 11cm entre les barreaux, 
- gonds réglables pour ouverture à 180°,verrou au sol sur chaque vantail, système de fermeture, arrêtoirs,
- la galvanisation à chaud, la mise en peinture par thermolaquage coloris RAL 7026
- la pose, 
- l' évacuation des déblais à la décharge de l'Entreprise,
y compris toutes sujétions.
Ce prix s'applique à l' unité comptée en place</t>
  </si>
  <si>
    <t xml:space="preserve"> H102</t>
  </si>
  <si>
    <t>Fourniture et pose de serrurerie artisanale (suivant plans)</t>
  </si>
  <si>
    <t xml:space="preserve"> H10201</t>
  </si>
  <si>
    <t>Fourniture et pose de grilles de clôture, type serrurerie, de hauteur 1,00m</t>
  </si>
  <si>
    <t>Fourniture et pose de grilles de clôture, type serrurerie, de hauteur 1,00m, suivant plans et CCTP  comprenant :
- de poteaux en fer plein, renforcés à leur base, par 2 fers pleins de section identique,
- de 2 lisses horizontales en fer plat,
- de barreaux en fer plein.
- la galvanisation à chaud, la mise en peinture par thermolaquage coloris RAL 7026,
- le scellement des montants dans les réservations prévues,
- la pose,    
 y compris toutes sujétions.
Ce prix s'applique au mètre linéaire posé, mesuré sur place</t>
  </si>
  <si>
    <t xml:space="preserve"> H10202</t>
  </si>
  <si>
    <t>Fourniture et pose de grilles de clôture, type serrurerie, de hauteur 1,25m</t>
  </si>
  <si>
    <t>Fourniture et pose de grilles de clôture, type serrurerie, de hauteur 1,25m, suivant plans et CCTP  comprenant :
- des poteaux en fer plein, renforcés à leur base, par 2 fers pleins de section identique,
- de 2 lisses horizontales en fer plat,
- de barreaux en fer  plein.
- la galvanisation à chaud, la mise en peinture par thermolaquage coloris RAL 7026,
- le scellement des montants dans les réservations prévues,
- la pose,
 y compris toutes sujétions.
Ce prix s'applique au mètre linéaire posé, mesuré sur place</t>
  </si>
  <si>
    <t xml:space="preserve"> H10203</t>
  </si>
  <si>
    <t>Fourniture et pose de grilles de clôture, type serrurerie, de hauteur 1,50m</t>
  </si>
  <si>
    <t>Fourniture et pose de grilles de clôture, type serrurerie, de hauteur 1,50m, suivant plans et CCTP  comprenant :
- des poteaux en fer plein, renforcés à leur base, par 2 fers pleins de section identique,
- de 2 lisses horizontales en fer plat,
- de barreaux en fer  plein.
- la la galvanisation à chaud, la mise en peinture par thermolaquage coloris RAL 7026,
- le scellement des montants dans les réservations prévues,
- la pose,
 y compris toutes sujétions.
Ce prix s'applique au mètre linéaire posé, mesuré sur place</t>
  </si>
  <si>
    <t xml:space="preserve"> H10204</t>
  </si>
  <si>
    <t>Fourniture et pose d'un portillon, type serrurerie, de largeur 1,50m et de hauteur 1,00m</t>
  </si>
  <si>
    <t>Fourniture et mise en œuvre de pierres cassées 40/70 sur une épaisseur de 8 cm environ pour réalisation d'une couche de remblai comprenant :
- la fourniture à pied d'œuvre,
- la mise en oeuvre,
- le compactage.
Ce prix s'applique au mètre cube de matériaux mis en oeuvre,</t>
  </si>
  <si>
    <t xml:space="preserve"> G20105</t>
  </si>
  <si>
    <t>Fourniture et mise en oeuvre de granulat secondaire 0/31,5, y compris PV manuelle,</t>
  </si>
  <si>
    <t>Fourniture et mise en oeuvre de granulat secondaire 0/31,5, y compris PV manuelle, comprenant :
- la fourniture à pied d'œuvre,
- la mise en oeuvre, y compris la mise en oeuvre manuelle dans les zones non accessible par engin (allées, trottoirs, tranchées...)
- le compactage.
Ce prix s'applique au mètre cube de matériaux mis en oeuvre,</t>
  </si>
  <si>
    <t xml:space="preserve"> G20106</t>
  </si>
  <si>
    <t>Reprise et mise en oeuvre de granulats concassés 40/100, produit de recyclage, en provenance du dépôt des Boëdriers,</t>
  </si>
  <si>
    <t>Reprise et mise en oeuvre de granulats concassés 40/100, produit de recyclage, en provenance du dépôt des Boëdriers,  comprenant :
- le chargement au dépôts des Boëdriers,
- la mise à disposition par l'entreprise de l'engin de chargement et d'un chauffeur
- le transport des matériaux du dépôt vers le chantier,
- le régalage et le compactage,
Ce prix s'applique au mètre cube de matériaux mesuré en place,</t>
  </si>
  <si>
    <t xml:space="preserve"> G20107</t>
  </si>
  <si>
    <t>Reprise et mise en oeuvre de granulats concassés 0/40, produit de recyclage, en provenance du dépôt des Boëdriers, y compris PV manuelle,</t>
  </si>
  <si>
    <t>Reprise et mise en oeuvre de granulats concassés 0/40, produit de recyclage, en provenance du dépôt des Boëdriers, y compris PV manuelle, comprenant :
- le chargement au dépôts des Boëdriers,
- la mise à disposition par l'entreprise de l'engin de chargement et d'un chauffeur
- le transport des matériaux du dépôt vers le chantier,
- le régalage et le compactage,
- la mise en oeuvre à la main dans les zones où l'intervention manuelle est nécessaire.
Ce prix s'applique au mètre cube de matériaux mesuré en place,</t>
  </si>
  <si>
    <t xml:space="preserve"> G20109</t>
  </si>
  <si>
    <t>Dépose de mobiliers avec récupération et stockage à la Ferme des bois, rue du Professeur Maurice Audin, Rennes, comprenant : 
- la dépose avec soin, 
- le chargement,
- le transport à la Ferme des bois,
- le déchargement,
y compris toutes sujétions.
Ce prix s'applique au forfait réalisé,</t>
  </si>
  <si>
    <t xml:space="preserve"> B102</t>
  </si>
  <si>
    <t>Dépose de mobiliers avec évacuation</t>
  </si>
  <si>
    <t xml:space="preserve"> B10201</t>
  </si>
  <si>
    <t>Dépose de mobiliers  avec évacuation à la décharge de l'Entreprise</t>
  </si>
  <si>
    <t>Dépose de mobilier avec évacuation à la décharge de l'Entreprise, comprenant :
- la dépose,
- le chargement,
- le transport,
- l'évacuation à la décharge de l'Entreprise,
y compris toutes sujétions.
Ce prix s'applique au forfait réalisé,</t>
  </si>
  <si>
    <t xml:space="preserve"> B103</t>
  </si>
  <si>
    <t>Dépose de jeux avec récupération</t>
  </si>
  <si>
    <t xml:space="preserve"> B10301</t>
  </si>
  <si>
    <t>Dépose de jeux unifonctionnels avec récupération et stockage sur le chantier</t>
  </si>
  <si>
    <t>Dépose de jeux unifonctionnels avec récupération et stockage sur le chantier, comprenant :
- la dépose avec soin,
- le stockage avec soin,
- la protection des équipements stockés,
y compris toutes sujétions.
Ce prix s'applique au forfait réalisé,</t>
  </si>
  <si>
    <t xml:space="preserve"> B10302</t>
  </si>
  <si>
    <t>Dépose de jeux unifonctionnels avec récupération et stockage à la Ferme des bois</t>
  </si>
  <si>
    <t>Dépose de jeux unifonctionnels avec récupération et stockage à la Ferme des bois, rue du Professeur Maurice Audin, Rennes, comprenant :
- la dépose avec soin des jeux concernés,
- le chargement,
- le transport à la Ferme des bois,
- le déchargement,
y compris toutes sujétions.
Ce prix s'applique au forfait réalisé,</t>
  </si>
  <si>
    <t xml:space="preserve"> B10303</t>
  </si>
  <si>
    <t>Dépose de jeux multifonctionnels avec récupération et stockage sur le chantier</t>
  </si>
  <si>
    <t>Dépose de jeux multifonctionnels avec récupération et stockage sur le chantier, comprenant :
- la dépose avec soin,
- le stockage avec soin,
- la protection des jeux stockés,
y compris toutes sujétions.
Ce prix s'applique au forfait réalisé,</t>
  </si>
  <si>
    <t xml:space="preserve"> B10304</t>
  </si>
  <si>
    <t>Dépose de jeux multifonctionnels avec récupération et stockage à la Ferme des bois</t>
  </si>
  <si>
    <t>Sous-solage, décompactage du fond de forme</t>
  </si>
  <si>
    <t xml:space="preserve"> C40101</t>
  </si>
  <si>
    <t>Sous-solage du terrain</t>
  </si>
  <si>
    <t>Sous-solage du terrain comprenant :
- sur l'ensemble des surfaces plantées le passage croisé  de la sous soleuse (ripper) sur une profondeur - 40 cm.
Ce prix s'applique au mètre carré de surface mesurée en place,</t>
  </si>
  <si>
    <t xml:space="preserve"> C40102</t>
  </si>
  <si>
    <t>Décompactage du fond de forme</t>
  </si>
  <si>
    <t>Décompactage du fond de forme comprenant :
- sur l'ensemble des surfaces le passage du tractopelle (godet) sur une profondeur - 40 cm,
Ce prix s'applique au mètre carré de surface mesurée en place,</t>
  </si>
  <si>
    <t xml:space="preserve"> C5</t>
  </si>
  <si>
    <t>Terrassements spécifiques (Talus, fossés, noues, berges,…)</t>
  </si>
  <si>
    <t xml:space="preserve"> C501</t>
  </si>
  <si>
    <t>Création Talus</t>
  </si>
  <si>
    <t xml:space="preserve"> C50101</t>
  </si>
  <si>
    <t>Création de talus par intervention mécanique</t>
  </si>
  <si>
    <t>Création de Talus par  intervention mécanique comprenant :
- la façon de talus avec engin mécanique,
- le raccordement avec le terrain naturel,
- l'apport de terre végétale et sa mise en forme,
- l’ameublissement, l’épierrage, l’émiettement des mottes
Ce prix s'applique au mètre cube de matériaux mesuré en place,</t>
  </si>
  <si>
    <t xml:space="preserve"> C50102</t>
  </si>
  <si>
    <t>Pour bacs (d'orangerie, jardinières,…)</t>
  </si>
  <si>
    <t xml:space="preserve"> D20101</t>
  </si>
  <si>
    <t>Fourniture et mise en place de mélange terreux pour bac</t>
  </si>
  <si>
    <t>Fourniture et mise en place de mélange terreux pour bac comprenant :
- la réalisation du mélange (2/3TV, 1/3compost)
- la fourniture et livraison du mélange sur le chantier,
- la mise en place du mélange dans les bacs,
y compris les analyses de terre réalisées conformément au CCTP.
Ce prix s'applique au mètre cube de matériau mis en oeuvre,</t>
  </si>
  <si>
    <t xml:space="preserve"> D202</t>
  </si>
  <si>
    <t>Pour terrasses végétalisées (terre allégée…)</t>
  </si>
  <si>
    <t xml:space="preserve"> D20201</t>
  </si>
  <si>
    <t>Fourniture et mise en place de mélange terreux pour terrasse</t>
  </si>
  <si>
    <t>Surfaçage d'une surface gravillonnée en gravillons concassé 4/6 ou 8/10, (type mignonette) ép.=2 à 3 cm
Exemple : Parc des Gayeulles</t>
  </si>
  <si>
    <t>Surfaçage d'une surface gravillonnée en gravillons concassé 4/6 ou 8/10, (type mignonette) ép.=2 à 3 cm comprenant :
- le griffage en surface du gravillon en place et l'enlèvement des adventices,
- la fourniture du gravillon à pied d'œuvre,
- l'épandage manuel en couche régulière de 2 à 3 cm,
- le cylindrage,
Ce prix s'applique au mètre carré de surface mesurée en place,</t>
  </si>
  <si>
    <t xml:space="preserve"> G30105</t>
  </si>
  <si>
    <t>Exécution d'une surface sablée en sable granitique 0/6,3 ou 0/8, type Quélaron ou équivalent , ép.= 4 cm</t>
  </si>
  <si>
    <t>Exécution d'une surface sablée en sable granitique 0/6,3 ou 0/8, type Quélaron ou équivalent , ép.= 4 cm, comprenant :
- la fourniture à pied d'œuvre,
- l'épandage manuel en couche régulière de 4 cm,
- le cylindrage,
- la couche de fondation se réfèrera au chapitre G2-01  
Ce prix s'applique au mètre carré de surface mesurée en place,</t>
  </si>
  <si>
    <t xml:space="preserve"> G30106</t>
  </si>
  <si>
    <t>Exécution d'une surface sablée en sable 4/6 ou 4/8 concassé, ép.= 4 cm</t>
  </si>
  <si>
    <t>Exécution d'une surface sablée en sable 4/6 ou 4/8 concassé, ép.= 4 cm, comprenant :
- la fourniture à pied d'œuvre,
- l'épandage manuel en couche régulière de 4 cm,
- le cylindrage,
- la couche de fondation se réfèrera au chapitre G2-01 
Ce prix s'applique au mètre carré de surface mesurée en place,</t>
  </si>
  <si>
    <t xml:space="preserve"> G30107</t>
  </si>
  <si>
    <t>Exécution d'une surface sablée en sable 4/6 ou 4/8 alluvionnaire (roulé) ép.= 4 cm
Exemple : Parc du Thabor, Oberthur,</t>
  </si>
  <si>
    <t>Exécution d'une surface sablée en sable 4/6 ou 4/8 alluvionnaire (roulé) ép.= 4 cm, comprenant :
- la fourniture à pied d'œuvre,
- l'épandage manuel en couche régulière de 4 cm,
- le cylindrage,
- la couche de fondation se réfèrera au chapitre G2-01 
Ce prix s'applique au mètre carré de surface mesurée en place,</t>
  </si>
  <si>
    <t xml:space="preserve"> G30108</t>
  </si>
  <si>
    <t>Exécution d'une surface gravillonnée en gravillons concassé 4/6 ou 8/10, (type mignonette) ép.= 4 cm
pour allée plutôt champêtre</t>
  </si>
  <si>
    <t>Fourniture et pose d' un portail à 2 vantaux, type serrurerie, de largeur 3,00m et de hauteur 1,50m</t>
  </si>
  <si>
    <t>Exécution d'une surface gravillonnée en gravillons concassé 0/4 ou 0/12, ép.= 4 cm comprenant :
- la fourniture à pied d'œuvre,
- l'épandage manuel en couche régulière de 4 cm,
- le cylindrage,
- la couche de fondation se référera au chapitre G2-01 
Ce prix s'applique au mètre carré de surface mesurée en place,</t>
  </si>
  <si>
    <t xml:space="preserve"> G30110</t>
  </si>
  <si>
    <t>Exécution d'une surface sablée enherbée,</t>
  </si>
  <si>
    <t>Exécution d'une surface sablée enherbée, sur une ép.=5cm, comprenant :
- la réalisation du mélange sable/terre homogène composé de 80% de sable granitique et de 20% de terre franche,
- le chargement et son acheminement à pied d'oeuvre,
- l'épandage manuel en couche régulière de 5 cm,
- la fourniture d'un mélange de semences agréé par le Service des Jardins
- la confection des filets
- l'ensemencement à raison de 30 à 35 g/m² selon spécifications et l'enfouissement des graines avec passage du croc et le roulage
- le cylindrage.
- la couche de fondation se référera au chapitre G2-01
Ce prix s'applique au mètre carré de surface mesurée en place,</t>
  </si>
  <si>
    <t xml:space="preserve"> G30111</t>
  </si>
  <si>
    <t>Exécution d'une surface roulable enherbée, à base d'un mélange terre/pierre
- composition 70% de 20/40 et 30% de terre végétale, semi d'un mélange de graminées (ville de Brest)</t>
  </si>
  <si>
    <t>Exécution d'une surface roulable enherbée, à base d'un mélange terre/pierre, comprenant :
- la préparation du fond de forme,
- la réalisation du mélange homogène, sans mottes, composé de 70% de 20/40 et 30% de terre végétale, 
- l'épandage mécanique et le nivellement manuel en couche régulière de 12 cm,
- la fourniture d'un mélange de semences agréé par le service des Jardins
- la confection des filets,
- l'ensemencement à raison de 30 à 35 g/m² selon spécifications et l'enfouissement des graines avec passage du croc et le roulage,
- le cylindrage.
Ce prix s'applique au mètre carré de surface mesurée en place,</t>
  </si>
  <si>
    <t xml:space="preserve"> G302</t>
  </si>
  <si>
    <t xml:space="preserve"> G30201</t>
  </si>
  <si>
    <t>Exécution d'une surface sablée semi stabilisée , ép.=3 à 4 cm</t>
  </si>
  <si>
    <t>Fourniture et pose d'une pergola métallique, suivant plan et CCTP, comprenant :
- 2 montants verticaux composés chacun de 3 poteaux en tube creux de section ronde reliés par cordon de soudure à des fers plats de section rectangulaire, avec platine de fixation pour scellement par tiges filetées dans massif béton de 0,50x0,50x0,80m,
- d'un  élément supérieur composé de 2 tubes creux de section ronde, reliés par cordon de soudure à des fers plats, et fixé aux montants par platine de fixation, 
- la galvanisation à chaud, la mise en peinture par thermolaquage RAL 7026,
- la pose ,
y compris toutes sujétions.
Ce prix s'applique à l' unité comptée en place,</t>
  </si>
  <si>
    <t xml:space="preserve"> H103</t>
  </si>
  <si>
    <t>Fourniture et pose des éléments en bois de fabrication industrielle</t>
  </si>
  <si>
    <t xml:space="preserve"> H10301</t>
  </si>
  <si>
    <t>Fourniture et pose d'une clôture type ganivelle : Hauteur 1,20m</t>
  </si>
  <si>
    <t>Fourniture et pose d'une clôture type ganivelle de 1,20m de hauteur comprenant :
- des poteaux en châtaignier écorcé de diamètre 8cm, tous les 2,50m avec jambe de force aux extrémités et aux angles,
-  des lattes de châtaignier (7 au ml) reliées par des fils galvanisés n° 14 torsadés
- la pose,
y compris toutes sujétions.
Ce prix s'applique au mètre linéaire posé, mesuré sur place</t>
  </si>
  <si>
    <t xml:space="preserve"> H10302</t>
  </si>
  <si>
    <t>Exécution de surface sablée stabilisée par procédé type  ACTIV-SOL ou équivalent avec sable type Quélaron, comprenant :
- la fourniture à pied d'œuvre du mélange à base de sable de carrière et du liant pouzzolanique,
- l'épandage du mélange sur une hauteur de 5 à 10 cm,
- le nivellement puis compactage du sol selon les recommandations du fournisseur,
y compris toutes sujétions.
Ce prix s'applique au mètre carré de surface mesurée en place,</t>
  </si>
  <si>
    <t xml:space="preserve"> G30203</t>
  </si>
  <si>
    <t>Stabilisation d'un sol en place selon un procédé type IONISOL, ECOVOIE, ou équivalent</t>
  </si>
  <si>
    <t>Fourniture et pose d' une barrière coulissante de hauteur hors sol  0,90m en pin traité de classe 4 pour passage jusqu' à 3,50m, comprenant :
-  le terrassement quelque soit la nature du terrain pour scellement des poteaux
-  2 poteaux de section 19x19 cm, avec finition en pointe de diamant, scellés dans des massifs béton de  40x40x50cm, et ouvragés pour le passage de la lisse horizontale,
-  une lisse horizontale de section 65x195mm, avec système de verrouillage de la lisse,
- la pose
- l' évacuation des déblais à la décharge de l'Entreprise,
y compris toutes sujétions.
Ce prix s'applique à l' unité comptée en place,</t>
  </si>
  <si>
    <t xml:space="preserve"> H10305</t>
  </si>
  <si>
    <t>Fourniture et pose d' une barrière pivotante en pin traité classe 4 de  hauteur hors sol 1,00m et pour passage jusqu' à 3,50m</t>
  </si>
  <si>
    <t>Fourniture et pose d' une barrière pivotante en pin traité classe 4 hauteur hors sol 1,10, pour passage jusqu'à 3,50m, comprenant :
-  le terrassement quelque soit la nature du terrain pour scellement des poteaux,
- 2 poteaux ronds, chanfreinés, de Ø 28cm avec fourreau galva pour le poteau axial et encoche de réception dans l'autre, scellés dans des massifs béton de 50x50x60cm
- 1  barre horizontale chanfreinée, de Ø 14cm  avec jambe de force et système de verrouillage,
- la pose,
- l' évacuation des déblais à la décharge de l'Entreprise,
y compris toutes sujétions.
Ce prix s'applique à l' unité comptée en place,</t>
  </si>
  <si>
    <t xml:space="preserve"> H10306</t>
  </si>
  <si>
    <t>Fourniture et pose d'un portillon en pin traité de classe 4 de largeur 1,25m et de hauteur 1,20m</t>
  </si>
  <si>
    <t>Exécution d'un enrobé décoratif à base de liant végétal  type végécol ou équivalent, comprenant :
- le balayage avant exécution,
- la fourniture de l'enrobé avec granulat validé par la maîtrise d'oeuvre,
- le régalage et le cylindrage,
- le nettoyage après exécution,
- la réalisation des engravures éventuelles y compris les sciages,
 - la plus-value pour mise en oeuvre à la main dans les zones où l'intervention manuelle est nécessaire (trottoirs, zones encombrées, etc.).
Ce prix s'applique à la tonne de matériaux mise en oeuvre,</t>
  </si>
  <si>
    <t xml:space="preserve"> G30216</t>
  </si>
  <si>
    <t>Exécution d'un enrobé drainant BBdr  0/10,classe 2,</t>
  </si>
  <si>
    <t>Exécution d'un enrobé drainant BBdr  0/10, classe 2,  comprenant :
- le balayage avant exécution,
- la fourniture à pied d'œuvre,
- l'exécution de la couche d'accrochage à l'émulsion de bitume,
- le régalage et le cylindrage,
- la réalisation des demi-caniveaux (si pas de caniveaux pavés),
- le nettoyage après exécution,
- la réalisation des engravures éventuelles y compris les sciages.
- l'application d'un joint périphérique, à l'émulsion de bitume (à 65%), exécuté à la lance sur une largeur de 10 à 20 cm, puis le sablage (sable de concassage) à la jonction des tapis en matériaux enrobés (ancien et nouveau).
Ce prix s'applique à la tonne de matériaux mise en oeuvre,</t>
  </si>
  <si>
    <t xml:space="preserve"> G30217</t>
  </si>
  <si>
    <t>Exécution d'un gravier résine</t>
  </si>
  <si>
    <t>Exécution d'un gravier résine comprenant :
- la fourniture des agrégats selon les recommandation du maître d'œuvre,
- la réalisation en bétonnière du mélange à base de liant de résine,
- la mise en œuvre du mélange sur une épaisseur de 8cm, 
y compris toutes sujétions.
Ce prix s'applique au mètre carré de surface mesurée en place,</t>
  </si>
  <si>
    <t xml:space="preserve"> G303</t>
  </si>
  <si>
    <t>Revêtements en matériaux coulés en place,</t>
  </si>
  <si>
    <t xml:space="preserve"> G30301</t>
  </si>
  <si>
    <t>Exécution d'un dallage en béton de ciment, armé, taloché ou peigné</t>
  </si>
  <si>
    <t>Fourniture et pose d'arroseur à jet rotatif comprenant :
- la fourniture et pose d'un arroseur à corps rétractable type Rain Bird série R50 ou équivalent,
- la fourniture et la pose du raccord en déporté si nécessaire,
- le montage du raccord sur la canalisation d'arrosage par vissage sur té en polypropylène,
le montage de l'arroseur sur le raccord démontable,
y compris toutes sujétions.
Ce prix s'applique à l'unité comptée en place,</t>
  </si>
  <si>
    <t xml:space="preserve"> E40107</t>
  </si>
  <si>
    <t>Fourniture et pose de Tuyère</t>
  </si>
  <si>
    <t>Fourniture et pose de Tuyère comprenant :
- la fourniture et pose d'une tuyère à corps rétractable type Rain Bird série 1800PRS ou équivalent,
- la fourniture et la pose du raccord en déporté nécessaire,
- le montage du raccord sur la canalisation d'arrosage par vissage sur té en polypropylène,
- le montage de la tuyère sur le raccord démontable,
y compris toutes sujétions.
Ce prix s'applique à l'unité comptée en place,</t>
  </si>
  <si>
    <t xml:space="preserve"> E402</t>
  </si>
  <si>
    <t>Tuyauterie et raccord à compression (tés, coudes, manchon) (Fourniture et pose)</t>
  </si>
  <si>
    <t xml:space="preserve"> E40201</t>
  </si>
  <si>
    <t>Fourniture et pose de tuyaux polyéthylène PEHD Ø 50, 6bars</t>
  </si>
  <si>
    <t>Fourniture et pose de tuyaux polyéthylène PEHD Ø 50, 6bars comprenant :
- fourniture et pose du tuyau P.E.H.D. Ø50,
- fourniture de toutes pièces de raccords (tés, coudes)
y compris toutes sujétions.
Ce prix s'applique au mètre linéaire mesuré en place,</t>
  </si>
  <si>
    <t xml:space="preserve"> E40202</t>
  </si>
  <si>
    <t>Fourniture et pose de tuyaux polyéthylène PEHD Ø 32, 6bars</t>
  </si>
  <si>
    <t>Fourniture et pose de tuyaux polyéthylène PEHD Ø 32, 6bars comprenant :
- fourniture et pose du tuyau P.E.H.D. Ø32,
- fourniture de toutes pièces de raccords (tés, coudes)
y compris toutes sujétions.
Ce prix s'applique au mètre linéaire mesuré en place,</t>
  </si>
  <si>
    <t xml:space="preserve"> E40203</t>
  </si>
  <si>
    <t>Fourniture et pose de tuyaux polyéthylène PEHD Ø 16, 3bars</t>
  </si>
  <si>
    <t>Fourniture et pose de tuyaux polyéthylène PEHD Ø 16, 3bars comprenant :
- fourniture et pose du tuyau P.E.H.D. Ø16,
- fourniture de toutes pièces de raccords (tés, coudes)
y compris toutes sujétions.
Ce prix s'applique au mètre linéaire mesuré en place,</t>
  </si>
  <si>
    <t xml:space="preserve"> E40204</t>
  </si>
  <si>
    <t>Mise à blanc de parcelles boisées avec évacuation, comprenant :
- la suppression des reliquats de clôture, de fils barbelés,
- la coupe de végétaux herbacés,
- la coupe des arbres et arbustes,
- le broyage des produits de coupe en  éléments ? à 5cm,
- leur évacuation sur le site de la Ferme des bois, rue du Professeur Maurice Audin, Rennes,
- le ramassage des bouteilles, détritus et leur évacuation à la décharge de l'entreprise,
y compris toutes sujétions.
 Ce prix s'applique  au m² traité, mesuré sur place</t>
  </si>
  <si>
    <t xml:space="preserve"> B20002</t>
  </si>
  <si>
    <t>Mise à blanc de parcelles boisées sans évacuation</t>
  </si>
  <si>
    <t>Mise à blanc de parcelles boisées sans évacuation, comprenant:
- la suppression des reliquats de clôture, de fils barbelés,
- la coupe de végétaux herbacés,
- la coupe des arbres et arbustes,
- le broyage des produits de coupe en éléments ? à 5cm,
- leur mise en dépôt sur place, en vue d' une reprise ultérieure,
- le ramassage des bouteilles, détritus et leur évacuation à la décharge de l'entreprise,
y compris toutes sujétions.
 Ce prix s'applique  au m² traité, mesuré sur place</t>
  </si>
  <si>
    <t xml:space="preserve"> B3</t>
  </si>
  <si>
    <t>Nettoyage, abattage d' arbre</t>
  </si>
  <si>
    <t xml:space="preserve"> B301</t>
  </si>
  <si>
    <t>Nettoyage d' arbre
(suppression du bois mort sur l' arbre)</t>
  </si>
  <si>
    <t xml:space="preserve"> B30101</t>
  </si>
  <si>
    <t>Nettoyage d'un arbre type arbre d'alignement</t>
  </si>
  <si>
    <t>Nettoyage d' un arbre type arbre d'alignement comprenant:
- l'installation d' un périmètre de protection,
- l'ascension dans l'arbre,
- la coupe éventuelle des plants de lierre,
- la suppression des branches mortes, cassées ou fêlées, des chicots pour la sécurité,
- le dédoublage des charpentières en surnombre,
- l'application de baume cicatrisant sur les coupes,
- l'évacuation du bois mort,
- l'évacuation des produits de coupe à la décharge de l'Entreprise,
- les travaux devront respecter la végétation existante,
- la remise en état du lieu après l' intervention,
y compris toutes sujétions.
Ce prix s'applique à l'unité comptée en place,</t>
  </si>
  <si>
    <t xml:space="preserve"> B30102</t>
  </si>
  <si>
    <t>Nettoyage d'un arbre type gros sujet</t>
  </si>
  <si>
    <t>Fourniture et pose de purge automatique</t>
  </si>
  <si>
    <t>Fourniture et pose de purge automatique comprenant :
- le décaissement, le règlement et le compactage du fond de forme avec  évacuation des terres excédentaires,
- la fourniture et mise en place d'un massif drainant en gravillons  de 0,50m x 0,50 x 0,50m,
- la fourniture et la pose par vissage sur tés en polypropylène des purges filetée 1/2"""".
Ce prix s'applique à l'unité comptée en place,</t>
  </si>
  <si>
    <t xml:space="preserve"> E40406</t>
  </si>
  <si>
    <t>Fourniture et pose de vanne 1/4 de tour</t>
  </si>
  <si>
    <t>Fourniture et pose de vanne 1/4 de tour comprenant:
- la fourniture et pose d'une vanne à boisseau sphérique en laiton avec poignée de commande 1/4 de tour faisant office de vanne de sectionnement à raison d'une par secteur d'arrosage,
- le montage de la vanne sur raccords démontables,
y compris toutes sujétions.
Ce prix s'applique à l'unité comptée en place,</t>
  </si>
  <si>
    <t xml:space="preserve"> E40407</t>
  </si>
  <si>
    <t>Fourniture et pose de regard rectangulaire pour électrovanne</t>
  </si>
  <si>
    <t>Fourniture et pose de regard rectangulaire pour électrovanne comprenant :
-le décaissement, le règlement et le compactage du fond de forme,
- la fourniture et la mise en place d'un regard rectangulaire 12""""avec réhausse 12"""",
-la fourniture et mise en place d'une couche de gravillons de 20cm,
- la découpe des orifices pour le passage des canalisations,
- le remblaiement et l'évacuation des excédents,
- le calage altimétrique avec le sol environnant,
y compris toutes sujétions.
Ce prix s'applique à l'unité comptée en place,</t>
  </si>
  <si>
    <t xml:space="preserve"> E405</t>
  </si>
  <si>
    <t>Essais</t>
  </si>
  <si>
    <t xml:space="preserve"> E40501</t>
  </si>
  <si>
    <t>Essai et mise en service de l'installation</t>
  </si>
  <si>
    <t>Essai et mise en service de l'installation comprenant :
- les réglages nécessaires au bon fonctionnement,
- le contrôle de conformité,
- la programmation selon les prescriptions de la Direction des Jardins,
- Les essais en présence du maître d'Œuvre,
- le repositionnement du goutte à goutte, tuyères, turbines si les surfaces ne sont pas arrosées uniformément.
Ce prix s'applique au forfait réalisé,</t>
  </si>
  <si>
    <t xml:space="preserve"> E5</t>
  </si>
  <si>
    <t>Autres réseaux</t>
  </si>
  <si>
    <t xml:space="preserve"> E50001</t>
  </si>
  <si>
    <t>Fourniture et pose de fourreau en attente</t>
  </si>
  <si>
    <t>Mise à niveau de regard 80x80 comprenant : 
- le terrassement pour dégagement du regard existant,
- l'évacuation des produits excédentaires à la décharge de l'entreprise,
- le démontage de l'élément de tête de façon à caler le cadre aux côtes du projet,
- l'arasement au niveau du sol fini avec reprise au mortier des surfaces apparentes soigneusement réglées,
- raccordement altimétrique avec le sol environnant sans présenter de risque pour le public,
y compris toutes sujétions.
Ce prix s'applique à l'unité comptée en place,</t>
  </si>
  <si>
    <t xml:space="preserve"> E205</t>
  </si>
  <si>
    <t>Confection d'ouvrage (Tête de buse…)</t>
  </si>
  <si>
    <t xml:space="preserve"> E20501</t>
  </si>
  <si>
    <t>Réalisation d'une tête de buse</t>
  </si>
  <si>
    <t>Réalisation d'une tête de buse comprenant : 
- l'implantation de la tête de buse,
- les fouilles pour la réalisation du fond de forme,
- la  coupe d’une buse béton diamètre 300 mm ,
- la fourniture et mise en oeuvre de pierres naturelles de type,
schiste pour réalisation de parement épousant et englobant les extrémités de buse selon plan de détail,
- la taille éventuelle de pierres ,
- scellement des pierres à l’aide de béton de gravillons,
- jointoiement à l’aide de mortier de ciment ,
y compris toutes sujétions.
Ce prix s'applique à l'unité comptée en place,</t>
  </si>
  <si>
    <t xml:space="preserve"> E206</t>
  </si>
  <si>
    <t>Conception d'ouvrage particulier</t>
  </si>
  <si>
    <t xml:space="preserve"> E20601</t>
  </si>
  <si>
    <t>Réalisation d'un puits perdu</t>
  </si>
  <si>
    <t>Réalisation d'un puits perdu comprenant :
- l'implantation du puits perdu,
- les fouilles pour la réalisation du puits d'un volume de 1m3 avec évacuation en décharge,
- la fourniture et la pose d'un géotextile dans le fond, sur les parois,
- la fourniture et le remplissage de gravillons calibre 10/12,
- le positionnement de la canalisation dans les gravillons
- la couverture des gravillons par le géotextile puis apport de terre végétale sur 30cm,
- raccord altimétrique avec le sol environnant,
y compris toute sujétions.
Ce prix s'applique au forfait réalisé,</t>
  </si>
  <si>
    <t xml:space="preserve"> E3</t>
  </si>
  <si>
    <t>Alimentation eau potable</t>
  </si>
  <si>
    <t xml:space="preserve"> E301</t>
  </si>
  <si>
    <t>Piquage sur le réseau d'eau potable</t>
  </si>
  <si>
    <t xml:space="preserve"> E30101</t>
  </si>
  <si>
    <t>Piquage sur la canalisation avec antenne de Ø 32 (CGE)</t>
  </si>
  <si>
    <t>Piquage sur la canalisation avec antenne de Ø 32 (CGE)
Ce prix s'applique à l'unité comptée en place,</t>
  </si>
  <si>
    <t xml:space="preserve"> E30102</t>
  </si>
  <si>
    <t>Piquage sur la canalisation avec antenne de Ø 50 (CGE)</t>
  </si>
  <si>
    <t>Piquage sur la canalisation avec antenne de Ø 50 (CGE)
Ce prix s'applique à l'unité comptée en place,</t>
  </si>
  <si>
    <t xml:space="preserve"> E30103</t>
  </si>
  <si>
    <t>Fourniture et pose d'une fosse à compteur avec compteur, disconnecteur (CGE)</t>
  </si>
  <si>
    <t>Fourniture et pose d'une fosse à compteur avec compteur, disconnecteur (CGE)
Ce prix s'applique au forfait réalisé,</t>
  </si>
  <si>
    <t xml:space="preserve"> E30104</t>
  </si>
  <si>
    <t>Plus-value pour tampon remplissable
Ce prix s'applique à l'unité comptée en place,</t>
  </si>
  <si>
    <t xml:space="preserve"> E302</t>
  </si>
  <si>
    <t>Canalisations,</t>
  </si>
  <si>
    <t xml:space="preserve"> E30201</t>
  </si>
  <si>
    <t>Fourniture et mise en œuvre de tuyaux en P.E.H.D. Ø 32, 10/16bars</t>
  </si>
  <si>
    <t>Fourniture et pose de pavé échantillon 14x20x14 en granit sur fondation de sable de 0,10 m avec joints gazon, comprenant :
- le règlement soigné de la forme,
- la fourniture,
- le transport et le déchargement,
- la fourniture et mise en œuvre du sable pour le lit de pose,
- la pose des pavés selon calepinage défini par le maître d'oeuvre,
- le garnissage des joints à la terre fine,
- l'ensemencement de joints, l'enfouissement des graines,
- le cylindrage.
y compris toutes sujétions.
Ce prix s'applique au mètre carré de surface mesurée en place,</t>
  </si>
  <si>
    <t xml:space="preserve"> G40105</t>
  </si>
  <si>
    <t>Fourniture et pose de pavé échantillon 14x20x14 en grès, sur fondation de sable de 0,10 m avec joints gazon</t>
  </si>
  <si>
    <t>Fourniture et pose de pavé échantillon 14x20x14 en grès, sur fondation de sable de 0,10 m avec joints gazon comprenant :
     - Le règlement soigné de la forme,
     - La fourniture,
     - Le transport et le déchargement,
     - La fourniture et mise en œuvre du sable pour le lit de pose,
     - La pose des pavés selon calepinage défini par le maître d'oeuvre,
     - Le garnissage des joints à la terre émiettée,
     - L'ensemencement de joints, l'enfouissement des graines,
     - Le cylindrage.
y compris toutes sujétions.
Ce prix s'applique au mètre carré de surface mesurée en place,</t>
  </si>
  <si>
    <t xml:space="preserve"> G40106</t>
  </si>
  <si>
    <t>Dépose et repose de pavé de réemploi à l'identique dans les zones endommagées,</t>
  </si>
  <si>
    <t>Dépose et repose de pavé de réemploi à l'identique dans les zones endommagées, comprenant :
- le terrassement de la zone nécessitant reprise,
- le tri et décrottage des pavés et leur rangement éventuel,
- le règlement soigné de la forme,
- la fourniture et la mise en œuvre de tous agrégats (sable, ciment, mortier...)
- la réalisation du lit de pose à l'identique,
- la pose des pavés selon calepinage défini par le maître d'oeuvre,
- le garnissage des joints à l'identique,
- le nettoyage des pavés,
y compris toutes sujétions.
Ce prix s'applique au mètre carré de surface mesurée en place,</t>
  </si>
  <si>
    <t xml:space="preserve"> G40120</t>
  </si>
  <si>
    <t>Décapage et stockage de terre végétale hors ZAC, avec transport,  sur une distance comprise entre 1 et 5km</t>
  </si>
  <si>
    <t>Décapage, stockage de terre végétale hors ZAC, avec transport, sur une distance comprise entre 1 et 5km comprenant:
- le décapage sur une profondeur de 30cm environ,
- le chargement,
- le transport,
- le stockage sur zone définie par le maître d'oeuvre.
Ce prix s'applique au m3 mesuré en place,</t>
  </si>
  <si>
    <t xml:space="preserve"> B50203</t>
  </si>
  <si>
    <t>Décapage et stockage de terre végétale hors ZAC avec transport  sur une distance &gt; à 5km</t>
  </si>
  <si>
    <t>Décapage, stockage de terre végétale, hors ZAC, sur une distance &gt; à 5km comprenant :
- le décapage sur une profondeur de 30cm environ,
- le chargement,
- le transport,
- le stockage sur zone définie par le maître d'oeuvre.
Ce prix s'applique au m3 mesuré en place,</t>
  </si>
  <si>
    <t xml:space="preserve"> B6</t>
  </si>
  <si>
    <t>Démolition d' ouvrages superficiels ou en élévation</t>
  </si>
  <si>
    <t xml:space="preserve"> B601</t>
  </si>
  <si>
    <t>Démolition d' ouvrages superficiels de pavage, dallage pierres ou autres matériaux</t>
  </si>
  <si>
    <t xml:space="preserve"> B60101</t>
  </si>
  <si>
    <t>Démolition d'ouvrages superficiels de pavage, dallage pierres ou autres matériaux avec  récupération</t>
  </si>
  <si>
    <t>Fourniture et pose de brique, type PACEMA ou équivalent, posée sur chant sur mortier, comprenant :
- la fourniture et la pose des briques sur un lit de mortier de ciment de 4 cm d'épaisseur avec solin,
- la fourniture et la mise en place du mortier,
- la confection des joints au mortier de ciment,
- le nettoyage des briques,
y compris toutes sujétions.
Ce prix s'applique au mètre carré de surface mesurée en place,</t>
  </si>
  <si>
    <t xml:space="preserve"> G402</t>
  </si>
  <si>
    <t>Pavages en matériaux reconstitués</t>
  </si>
  <si>
    <t xml:space="preserve"> G40201</t>
  </si>
  <si>
    <t>Fourniture et pose de pavé en béton 10x10, épaisseur 10 cm, posé sur mortier</t>
  </si>
  <si>
    <t>Fourniture et pose de pavés en béton 10 x 10, épaisseur 10 cm posés sur mortier, comprenant :
- le règlement soigné de la forme,    
- le transport,
- le déchargement à pied d'oeuvre,
- la fourniture et la mise en place du mortier de ciment sur 3 à 4 cm d'épaisseur,
- la pose des pavés.
Ce prix s'applique au mètre carré de surface mesurée en place,</t>
  </si>
  <si>
    <t xml:space="preserve"> G403</t>
  </si>
  <si>
    <t>Pavages en matériaux de synthèse</t>
  </si>
  <si>
    <t xml:space="preserve"> G40301</t>
  </si>
  <si>
    <t>Fourniture et mise en oeuvre de revêtement en résine """"pavé 10x10 et boutisse 15x10"""" type UNIDOC, 3D ou équivalent</t>
  </si>
  <si>
    <t>Fourniture et mise en oeuvre de revêtement en résine """"pavés 10x10 et boutisses 15x10"""" type UNIDOC, 3D ou équivalent, coloris gris bleuté identique au gris bleuté de Louvigné (voir CCTP), comprenant:
- la fourniture des pavés et boutisses,
- la fourniture et mise en oeuvre de la résine et des adjuvants,
- la mise en oeuvre des pavés et boutisses.
Ce prix s'applique au mètre carré de surface mesurée en place,</t>
  </si>
  <si>
    <t xml:space="preserve"> G40302</t>
  </si>
  <si>
    <t>Fourniture et mise en oeuvre de bande collée 80x15 en résine type UNIDOC, 3D ou équivalent</t>
  </si>
  <si>
    <t>Fourniture et mise en oeuvre de bande collée 80x15 en résine type UNIDOC, 3D ou équivalent, coloris gris bleuté identique au gris bleuté de Louvigné (voir CCTP), comprenant :
- la fourniture des bandes,
- la fourniture et mise en oeuvre de la résine et des adjuvants,
- la mise en oeuvre des bandes.
Ce prix s'applique au mètre linéaire mesuré en place,</t>
  </si>
  <si>
    <t xml:space="preserve"> G404</t>
  </si>
  <si>
    <t>Dallages en matériaux naturels</t>
  </si>
  <si>
    <t xml:space="preserve"> G40401</t>
  </si>
  <si>
    <t>Fourniture  et pose de dalle en granit, ép. 10cm,  face supérieure grenaillée sur mortier,</t>
  </si>
  <si>
    <t>Fourniture  et pose de dalle en granit, ép. 10cm,  face supérieure grenaillée sur mortier, comprenant :
- le règlement soigné de la forme,
- la fourniture de dalles en granit gris bleuté identique au gris bleuté de Louvigné, épaisseur 10 cm, dont la face supérieure sera grenaillée,
- le transport,
- le déchargement, 
- la fourniture et la mise en oeuvre du mortier sur 5 cm d'épaisseur,
- Les coupes éventuelles (longueur, largeur et épaisseur, trappes remplissables, arrondis, etc.),
- le fichage et le réglage des dalles,
- l'exécution des joints au mortier de ciment,
- le nettoyage des dalles,
y compris toutes sujétions.
Ce prix s'applique au mètre carré de surface mesurée en place,</t>
  </si>
  <si>
    <t xml:space="preserve"> G40402</t>
  </si>
  <si>
    <t>Fourniture et pose de dallette en porphyre, ép.5cm, (type opus romain) sur mortier,</t>
  </si>
  <si>
    <t>Réalisation de maçonnerie en pierre naturelle  type schiste pleine masse, largeur 0,50m,</t>
  </si>
  <si>
    <t>Réalisation de maçonnerie en pierre naturelle  type schiste pleine masse, largeur 0,50m, comprenant :
- La présentation au maître d'œuvre de plusieurs échantillons de la pierre pour validation,
- la fourniture, le transport et la mise en œuvre des pierres,
- le scellement au mortier des pierres pour un muret épaisseur environ 0,50m,
- le respect des détails de calepinage (voir carnet de détails),
- la confection des joints plats au mortier de ciment  ép. = 1 cm,
- le nettoyage de la laitance des joints,
y compris toutes sujétions.
Ce prix s'applique au mètre cube  mesuré en place,</t>
  </si>
  <si>
    <t xml:space="preserve"> F20506</t>
  </si>
  <si>
    <t>Réalisation d'un parement en pierre  naturelle type schiste ( ép. 15cm env, )sur muret béton ou Stépoc</t>
  </si>
  <si>
    <t>Réalisation d'un parement en pierre  naturelle type schiste ( ép. 15cm env, ) sur muret béton ou Stépoc, comprenant :
- La présentation au maître d'œuvre de plusieurs échantillons de la pierre pour validation,
- la fourniture et la mise en œuvre des pierres,
- le scellement au mortier des pierres de parement sur muret béton ou Stepoc
- le respect des détails de calepinage (voir carnet de détails),
- la confection des joints plats au mortier de ciment  ép. = 1 cm ,
- le nettoyage de la laitance des joints,
y compris toutes sujétions.
Ce prix s'applique au mètre carré, mesuré en place,</t>
  </si>
  <si>
    <t xml:space="preserve"> F20507</t>
  </si>
  <si>
    <t>Plus-value au prix F2-05-05 pour réalisation d'un fruit pour  muret  en pierre  naturelle type schiste,</t>
  </si>
  <si>
    <t>Plus-value au prix F2-05-05 pour réalisation d'un fruit pour  muret  en pierre  naturelle type schiste, comprenant :
- La présentation au maître d'œuvre de plusieurs échantillons de la pierre pour validation,
- la fourniture et la mise en œuvre des pierres,
- le scellement au mortier des pierres ,
- le respect des détails de calepinage (voir carnet de détails),
- la confection des joints plats au mortier de ciment  ép. = 1 cm ,
- le nettoyage de la laitance des joints,
y compris toutes sujétions.
Ce prix s'applique au mètre carré de surface  mesurée en place,</t>
  </si>
  <si>
    <t xml:space="preserve"> F206</t>
  </si>
  <si>
    <t>Couronnement</t>
  </si>
  <si>
    <t xml:space="preserve"> F20601</t>
  </si>
  <si>
    <t>Réalisation d'un couronnement de muret en brique sur chant,</t>
  </si>
  <si>
    <t>Réalisation d'un couronnement de muret en brique sur chant,  comprenant :
- La présentation au maître d'œuvre de plusieurs échantillons de la brique pour validation,
- la fourniture et la mise en œuvre des briques,
- le scellement au mortier, des briques posées sur chant et liées entre elles aux extrémités  par des chevilles.
- le respect des détails de calepinage (voir carnet de détails),
- la confection des joints plats au mortier de ciment  ép. = 1 cm ,
- le nettoyage de la laitance des joints,
y compris toutes sujétions.
Ce prix s'applique au mètre carré, mesuré en place,</t>
  </si>
  <si>
    <t xml:space="preserve"> F20602</t>
  </si>
  <si>
    <t>Abattage simple d' un arbre de diamètre &gt; à 1,00m, sans essouchement, sur espace dégagé comprenant  :
- l'installation d' un périmètre de protection,
- l'abattage de l' arbre,
- le tronçonnage,
- le broyage,
- l'évacuation des produits (des éléments du tronc, branches, feuilles, sciure...) à la décharge de l'Entreprise,
- le nettoyage du terrain,
y compris toutes sujétions.
Ce prix s'applique à l'unité comptée en place,</t>
  </si>
  <si>
    <t xml:space="preserve"> B30308</t>
  </si>
  <si>
    <t>Démontage d' un arbre de diamètre &gt; à 1,00m, sans essouchement,  sur espace dégagé</t>
  </si>
  <si>
    <t>Démontage d' un arbre de diamètre &gt; à 1,00m, sans essouchement, sur espace dégagé comprenant : 
- l'installation d' un périmètre de protection
- le démontage du tronc, des branches charpentières par tronçons de 1,00m de longueur,
- l'évacuation, des produits (des éléments du tronc, branches, feuilles, sciure...) à la décharge de l'Entreprise,
- le nettoyage du terrain,
y compris toutes sujétions.
Ce prix s'applique à l'unité comptée en place,</t>
  </si>
  <si>
    <t xml:space="preserve"> B304</t>
  </si>
  <si>
    <t>Essouchement d'arbres</t>
  </si>
  <si>
    <t xml:space="preserve"> B30401</t>
  </si>
  <si>
    <t>Essouchement d' un arbre type petit sujet, diamètre jusqu'à 15cm, à l' aide de la pelle mécanique</t>
  </si>
  <si>
    <t>Dépose de jeux et d' équipements sportifs avec évacuation</t>
  </si>
  <si>
    <t xml:space="preserve"> B10401</t>
  </si>
  <si>
    <t>Dépose de jeux avec évacuation à la décharge de l'Entreprise</t>
  </si>
  <si>
    <t>Dépose de jeux avec évacuation à la décharge de l'Entreprise, comprenant :
- la dépose des jeux concernés,
- l'évacuation à la décharge de l'Entreprise,
y compris toutes sujétions.
Ce prix s'applique au forfait réalisé,</t>
  </si>
  <si>
    <t xml:space="preserve"> B10402</t>
  </si>
  <si>
    <t>Dépose d'équipements sportifs avec évacuation à la décharge de l'Entreprise</t>
  </si>
  <si>
    <t>Dépose de jeux avec évacuation à la décharge de l'Entreprise, comprenant :
- la dépose des équipements sportifs concernés,
- évacuation à la décharge de l'Entreprise,
y compris toutes sujétions.
Ce prix s'applique au forfait réalisé,</t>
  </si>
  <si>
    <t xml:space="preserve"> B105</t>
  </si>
  <si>
    <t>Dépose d'une clôture avec récupération</t>
  </si>
  <si>
    <t xml:space="preserve"> B10501</t>
  </si>
  <si>
    <t>dépose d'une clôture en treillis soudé avec récupération et stockage sur le chantier</t>
  </si>
  <si>
    <t>Dépose d'un portail ou d'un portillon avec récupération et stockage sur le chantier</t>
  </si>
  <si>
    <t>Dépose d'un portail ou d'un portillon avec récupération et stockage sur le chantier, comprenant :
- la dépose avec soin du portail ou du portillon concerné,
- le stockage avec soin, 
- la protection des équipements stockés,
y compris toutes sujétions.
Ce prix s'applique au forfait réalisé,</t>
  </si>
  <si>
    <t xml:space="preserve"> B10702</t>
  </si>
  <si>
    <t>Dépose d'un portail et d'un portillon avec récupération et stockage à la Ferme des bois</t>
  </si>
  <si>
    <t>Dépose d'un portail ou d'un portillon avec récupération et stockage à la Ferme des bois, rue du Professeur Maurice Audin, Rennes, comprenant :
- la dépose avec soin,
- le chargement,
- le transport à la Ferme des bois,
- le déchargement,
y compris toutes sujétions.
Ce prix s'applique au forfait réalisé,</t>
  </si>
  <si>
    <t xml:space="preserve"> B108</t>
  </si>
  <si>
    <t>Dépose d'un portail ou d'un portillon avec évacuation</t>
  </si>
  <si>
    <t>Réalisation d'un béton armé dosé à 350kg/m3, comprenant :
- la mise en œuvre du béton armé dosé à 350 kg/m3,
- la remise en état des abords de la fouille,
y compris toutes sujétions.
Ce prix s'applique au mètre cube mesuré en place,</t>
  </si>
  <si>
    <t xml:space="preserve"> F2</t>
  </si>
  <si>
    <t>Maçonnerie en élévation</t>
  </si>
  <si>
    <t xml:space="preserve"> F201</t>
  </si>
  <si>
    <t>Coffrage pour ouvrages particuliers</t>
  </si>
  <si>
    <t xml:space="preserve"> F20101</t>
  </si>
  <si>
    <t>Fourniture et mise en place de coffrage pour gradine béton</t>
  </si>
  <si>
    <t>Fourniture et mise en place de coffrage pour gradine béton comprenant :
- la fourniture et la  réalisation d'un coffrage,
- le raidissement des éléments de coffrage,
- la dépose du coffrage après séchage,
 y compris toutes sujétions.
Ce prix s'applique au mètre carré de surface  mesurée en place,</t>
  </si>
  <si>
    <t xml:space="preserve"> F202</t>
  </si>
  <si>
    <t>Maçonnerie en aggloméré ( mur, muret, divers )</t>
  </si>
  <si>
    <t xml:space="preserve"> F20201</t>
  </si>
  <si>
    <t>Réalisation de maçonnerie en agglos creux 0,15 x 0,25 x 0,50</t>
  </si>
  <si>
    <t>Rejointoiement creux sur maçonnerie de pierre au mortier de ciment, comprenant :
- la dégradation des joints existants,
- la suppression des enduits existants,
- la confection des joints creux au mortier de ciment sur maçonnerie de pierre,
- le nettoyage de la laitance des joints,
y compris toutes sujétions.
Ce prix s'applique au mètre carré, mesuré en place,</t>
  </si>
  <si>
    <t xml:space="preserve"> F30102</t>
  </si>
  <si>
    <t>Rejointoiement pleins sur maçonnerie de pierre au mortier de ciment</t>
  </si>
  <si>
    <t>Rejointoiement pleins sur maçonnerie de pierre au mortier de ciment, comprenant :
- la dégradation des joints existants,
- la suppression des enduits existants,
- la confection des joints pleins au mortier de ciment sur maçonnerie de pierre,
- le nettoyage de la laitance des joints,
y compris toutes sujétions .
Ce prix s'applique au mètre carré mesuré en place,</t>
  </si>
  <si>
    <t xml:space="preserve"> F30103</t>
  </si>
  <si>
    <t>Rejointoiement creux sur maçonnerie de pierre au mortier bâtard</t>
  </si>
  <si>
    <t>Rejointoiement pleins sur maçonnerie de pierre au mortier de ciment, comprenant :
- la dégradation des joints existants,
- la suppression des enduits existants,
- la confection des joints creux au mortier de ciment  bâtard sur maçonnerie de pierre,
- le nettoyage de la laitance des joints,
y compris toutes sujétions .
Ce prix s'applique au mètre carré mesuré en place,</t>
  </si>
  <si>
    <t xml:space="preserve"> F302</t>
  </si>
  <si>
    <t>Chanfrein</t>
  </si>
  <si>
    <t xml:space="preserve"> F30201</t>
  </si>
  <si>
    <t>Réalisation de chanfrein pour emmarchement</t>
  </si>
  <si>
    <t>Réalisation de chanfrein pour emmarchement, comprenant :
- la réalisation de chanfrein plat ou arrondi pour emmarchement,
y compris toutes sujétions.
Ce prix s'applique au mètre linéaire  mesuré en place,</t>
  </si>
  <si>
    <t xml:space="preserve"> F303</t>
  </si>
  <si>
    <t>Enduit</t>
  </si>
  <si>
    <t xml:space="preserve"> F30301</t>
  </si>
  <si>
    <t>Fourniture et pose d'une clôture en panneaux de treillis soudé, galvanisé, plastifié de hauteur 1,23m, comprenant :
- le terrassement quelque soit la nature du terrain pour scellement des poteaux
- les poteaux tubulaires avec capuchon, galvanisés intérieur et extérieur, de longueur 1,70m, plastifiés RAL 7026, 
- le scellement des poteaux dans massifs béton de 30x30x50cm, tous les 2,50m,
- les panneaux de 2,50m de large à mailles rectangulaires de 200x50mm, Ø du fil 5mm, 2 plis horizontaux, picots défensifs d' un seul côté, plastifiés RAL 7026,
- la pose, 
- l' évacuation des déblais à la décharge de l'Entreprise,
y compris toutes sujétions.
Ce prix s'applique au mètre linéaire posé et mesuré sur place</t>
  </si>
  <si>
    <t xml:space="preserve"> H10107</t>
  </si>
  <si>
    <t>Fourniture et pose d'une clôture en panneaux de treillis soudé, galvanisé, plastifié de hauteur 1,53m</t>
  </si>
  <si>
    <t>Fourniture et mise en place d'enrochement type schiste - 80x80x80, comprenant :
- La présentation au maître d'œuvre de plusieurs échantillons des pierres d' enrochement ( 0,80 x 0,80 x 0,80 )
- la fourniture, le transport et la mise en œuvre des enrochements 
- le respect des détails d'assemblage (voir carnet de détails),
y compris toutes sujétions.
Ce prix s'applique au mètre cube de matériaux mesuré en place,</t>
  </si>
  <si>
    <t xml:space="preserve"> F404</t>
  </si>
  <si>
    <t>Eléments en bois</t>
  </si>
  <si>
    <t xml:space="preserve"> F40401</t>
  </si>
  <si>
    <t>Fourniture et pose de bastaing,</t>
  </si>
  <si>
    <t>Fourniture et pose de bastaing, comprenant :
- la fourniture et la mise en oeuvre des bastaings de section 15 x 25cm,  fixation à l'aide de clous à la base des éléments,
- le scellement dans massifs béton (voir carnet de détails),
y compris toutes sujétions.
Ce prix s'applique au mètre linéaire  mesuré en place,</t>
  </si>
  <si>
    <t xml:space="preserve"> F40402</t>
  </si>
  <si>
    <t>Fourniture et pose de rondin Ø 125,</t>
  </si>
  <si>
    <t>Fourniture et pose de rondin Ø 125, comprenant :
- la fourniture, le transport et la pose  de rondins de bois de  Ø 125 chanfreinés, fixation à l'aide de clous à la base des éléments,
- le scellement dans massifs béton  (voir carnet de détails),
y compris toutes sujétions.
Ce prix s'applique au mètre linéaire, mesuré en place,</t>
  </si>
  <si>
    <t xml:space="preserve"> F40403</t>
  </si>
  <si>
    <t>Fourniture et pose de rondin Ø 160,</t>
  </si>
  <si>
    <t>Fourniture et pose de rondin Ø 160, comprenant :
- la fourniture, le transport et la pose  de rondins de bois de  Ø 160, chanfreinés,
- le scellement dans massifs béton  (voir carnet de détails), fixation à l'aide de clous à la base des éléments,
y compris toutes sujétions.
Ce prix s'applique au mètre linéaire, mesuré en place,</t>
  </si>
  <si>
    <t xml:space="preserve"> F40404</t>
  </si>
  <si>
    <t>Fourniture et pose de rondin Ø 200,</t>
  </si>
  <si>
    <t>Fourniture et pose d'une clôture en panneaux de treillis soudé, galvanisé, plastifié de hauteur 2,03m, comprenant :
- le terrassement quelque soit la nature du terrain pour scellement des poteaux
- les poteaux tubulaires avec capuchon, galvanisés intérieur et extérieur, de longueur 2,60m, plastifiés RAL 7026, 
- le scellement des poteaux dans massifs béton de 30x30x50cm, tous les 2,50m,
- les panneaux de 2,50m de large à mailles rectangulaires de 200x50mm, Ø du fil 5mm, 4 plis horizontaux, picots défensifs d' un seul côté, plastifiés RAL 7026,
- la pose, 
- l' évacuation des déblais à la décharge de l'Entreprise,
y compris toutes sujétions.
Ce prix s'applique au mètre linéaire posé et mesuré sur place</t>
  </si>
  <si>
    <t xml:space="preserve"> H10110</t>
  </si>
  <si>
    <t>Fourniture et pose d' un portillon avec remplissage panneaux de treillis soudé, de largeur 1,00m et de hauteur 1,03m</t>
  </si>
  <si>
    <t>Fourniture et pose d'un portillon avec remplissage panneaux en treillis soudé, de largeur 1,00m, et de hauteur 1,03m, comprenant :
- le terrassement quelque soit la nature du terrain pour scellement des poteaux
- 2 poteaux tubulaires avec capuchon, galvanisés intérieur et extérieur, section 60x60mm, scellés dans des massifs béton de 30x30x50cm,
- le cadre en tube de section 40x40mm,
- le remplissage en panneaux de treillis soudé, à mailles rectangulaires de 200x50mm, Ø du fil 5mm, 2 plis horizontaux, picots défensifs d' un seul côté, plastifiés RAL 7026,
- gonds réglables pour ouverture à 180°, système de fermeture, arrêtoir
-  la galvanisation à chaud, la mise en peinture par thermolaquage coloris RAL 7026
- la pose, 
- l' évacuation des déblais à la décharge de l'Entreprise,
y compris toutes sujétions.
Ce prix s'applique à l'unité comptée en place,</t>
  </si>
  <si>
    <t xml:space="preserve"> H10120</t>
  </si>
  <si>
    <t>Fourniture et pose d' un portillon à barreaudage de largeur 1,50m et de hauteur 1,03m</t>
  </si>
  <si>
    <t>Repose suivant alignement droit ou courbe de bordure 15x25 de réemploi</t>
  </si>
  <si>
    <t>Repose suivant alignement droit ou courbe de bordure 15x25 de réemploi comprenant : 
- le transport, soit en provenance du chantier, soit du dépôt de la Ville de Rennes,
- le règlement soigné du fond d'encaissement,
- la fondation en béton et le mortier pour joints,
- le décrottage des bordures à utiliser,
- la pose de bordures circulaires et de bordures droites de réemploi sur fondation en béton de ciment  dosé à 350kg/m3 de ciment de type CPJ CEM II 32.5 et de 0,10 m d'épaisseur et l'exécution des joints tirés au fer,
- les coupes éventuelles.
Ce prix s'applique au mètre linéaire mesuré en place,</t>
  </si>
  <si>
    <t xml:space="preserve"> G10130</t>
  </si>
  <si>
    <t>Fourniture et pose de bordure en brique 5,5x11x22 posée sur chant, largeur 0,22m</t>
  </si>
  <si>
    <t>Fourniture et pose de bordure en brique 5,5x11x22 posée sur chant, largeur 0,22m, comprenant :
- la fourniture et la mise en place du mortier,
- la fourniture et la pose des briques,
- la confection des joints au mortier de ciment.
Ce prix s'applique au mètre linéaire mesuré en place,</t>
  </si>
  <si>
    <t xml:space="preserve"> G10131</t>
  </si>
  <si>
    <t>Fourniture et pose de bordure en brique 5,5x11x22 posée à plat/boutisse, largeur 0,22m</t>
  </si>
  <si>
    <t>Fourniture et pose de bordure en brique 5,5x11x22 posée à plat/boutisse, largeur 0,22m, comprenant :
- la fourniture et la mise en place du mortier,
- la fourniture et la pose des briques,
- la confection des joints au mortier de ciment.
Ce prix s'applique au mètre linéaire mesuré en place,</t>
  </si>
  <si>
    <t xml:space="preserve"> G10132</t>
  </si>
  <si>
    <t>Fourniture et pose de bordure en brique 5,5x10,5x22 posée à plat/panneresse, largeur 0,22m</t>
  </si>
  <si>
    <t>Fourniture et pose de bordure en brique 5,5x10,5x22 posée à plat/panneresse, largeur 0,22m, comprenant :
- la fourniture et la mise en place du mortier,
- la fourniture et la pose des briques,
- la confection des joints au mortier de ciment.
Ce prix s'applique au mètre linéaire mesuré en place,</t>
  </si>
  <si>
    <t xml:space="preserve"> G10133</t>
  </si>
  <si>
    <t>Fourniture et pose de bordure en barrette de schiste mauve posée sur chant, (0.25x0.10x0.04m)</t>
  </si>
  <si>
    <t>Reprofilage de noues par intervention manuelle comprenant :
- la façon de noues réalisée manuellement,
- la reprise de terre végétale,
- l'apport de terre végétale et sa mise en forme,
- le raccordement avec le terrain naturel
- l’ameublissement, l’épierrage, l’émiettement des mottes,
Ce prix s'applique au mètre linéaire mesuré en place,</t>
  </si>
  <si>
    <t xml:space="preserve"> C507</t>
  </si>
  <si>
    <t>Reprofilage berge</t>
  </si>
  <si>
    <t xml:space="preserve"> C50701</t>
  </si>
  <si>
    <t>Reprofilage de berge par intervention mécanique</t>
  </si>
  <si>
    <t>Reprofilage de berges par intervention mécanique comprenant :
- la façon de berges avec engin mécanique,
- la reprise de terre végétale,
- l'apport de terre végétale et sa mise en forme,
- le raccordement avec le terrain naturel
- l’ameublissement, l’épierrage, l’émiettement des mottes,
Ce prix s'applique au mètre linéaire mesuré en place,</t>
  </si>
  <si>
    <t xml:space="preserve"> C50702</t>
  </si>
  <si>
    <t>Reprofilage de berge par Intervention manuelle</t>
  </si>
  <si>
    <t>Reprofilage de berges par intervention manuelle comprenant :
- la façon de berges réalisée manuellement,
- la reprise de terre végétale,
- l'apport de terre végétale et sa mise en forme,
- le raccordement avec le terrain naturel
- l’ameublissement, l’épierrage, l’émiettement des mottes,
Ce prix s'applique au mètre linéaire mesuré en place,</t>
  </si>
  <si>
    <t xml:space="preserve"> D</t>
  </si>
  <si>
    <t>TERRE VEGETALE</t>
  </si>
  <si>
    <t xml:space="preserve"> D1</t>
  </si>
  <si>
    <t>Terre végétale, terre de bruyère, sables,</t>
  </si>
  <si>
    <t xml:space="preserve"> D101</t>
  </si>
  <si>
    <t>Reprise terre végétale en stock</t>
  </si>
  <si>
    <t xml:space="preserve"> D10101</t>
  </si>
  <si>
    <t>Reprise terre végétale en stock sur chantier</t>
  </si>
  <si>
    <t>Reprise terre végétale en stock sur chantier comprenant :
- la reprise de la terre végétale sur le chantier,
- la répartition de la terre végétale sur le chantier,
y compris toutes sujétions de mise en place à raison de : 
15cm pour les prairies,
30cm pour pelouse,
60 cm pour les massifs,
et 1,30 pour les arbres,
Ce prix s'applique au mètre cube de matériau mis en oeuvre,</t>
  </si>
  <si>
    <t xml:space="preserve"> D10102</t>
  </si>
  <si>
    <t>Reprise terre végétale en stock hors chantier</t>
  </si>
  <si>
    <t>Essouchement d' un arbre type gros sujet, diamètre à partir de 50cm, à l' aide de la rogneuse comprenant :
- l' installation d' un périmètre de protection
- le rognage de la souche au moyen de l' engin approprié en fonction du lieu d' intervention
-Le remblaiement immédiat de la fosse engendrée par le rognage de la souche (copeaux mélangés à de la terre)
- le nettoyage du terrain,
y compris toutes sujétions.
Ce prix s'applique à l'unité comptée en place,</t>
  </si>
  <si>
    <t xml:space="preserve"> B30407</t>
  </si>
  <si>
    <t>Dévitalisation de souche</t>
  </si>
  <si>
    <t>Dévitalisation de souche, comprenant :
- le percement à intervalles réguliers de trous d'un Ø de15mm minimum, profondeur en fonction de la souche,
- l'application de produits dévitalisant,
- le rebouchage des trous,
y compris toutes sujétions,
Ce prix s'applique à l'unité comptée en place,</t>
  </si>
  <si>
    <t xml:space="preserve"> B4</t>
  </si>
  <si>
    <t>Nettoyage terrain</t>
  </si>
  <si>
    <t xml:space="preserve"> B401</t>
  </si>
  <si>
    <t>Débroussaillage de surfaces en friches ou boisées  quelque soit la pente du terrain  (talus, bords de fossés, de ruisseaux, reboisements), y compris coupe des ligneux jusqu' à  6cm de diamètre.</t>
  </si>
  <si>
    <t xml:space="preserve"> B40101</t>
  </si>
  <si>
    <t>Débroussaillage de terrain à effectuer manuellement ou à la débroussailleuse à dos</t>
  </si>
  <si>
    <t>Débroussaillage de terrain à effectuer manuellement, ou à la débroussailleuse à dos pour des surfaces inaccessibles aux engins, comprenant :
- le broyage des coupes,
- le ramassage,
- l' évacuation à la décharge de l'Entreprise, 
- le nettoyage du terrain,
y compris toutes sujétions.
Ce prix s'applique  au m²  traité, mesuré sur place,</t>
  </si>
  <si>
    <t xml:space="preserve"> B40102</t>
  </si>
  <si>
    <t>Débroussaillage de terrain à effectuer à l' épareuse ou au girobroyeur</t>
  </si>
  <si>
    <t>Débroussaillage de terrain à effectuer à l' épareuse ou au girobroyeur, comprenant :
- le balisage du chantier, si nécessaire,
- le broyage
- le ramassage éventuel des produits de broyage en fonction de la saison,
- l'évacuation à la décharge de l'entreprise,
y compris toutes sujétions.
Ce prix s'applique  au m²  traité, mesuré sur place,</t>
  </si>
  <si>
    <t xml:space="preserve"> B402</t>
  </si>
  <si>
    <t>Arrachage d'arbustes</t>
  </si>
  <si>
    <t xml:space="preserve"> B40201</t>
  </si>
  <si>
    <t>Arrachage d'arbustes, partie aérienne et souche</t>
  </si>
  <si>
    <t>Arrachage d'arbustes, partie aérienne et souche, comprenant:
- l'installation d' un périmètre de protection,
- l'arrachage y compris la souche des arbustes, au tractopelle,
- le remblaiement immédiat des fosses laissées par l' arrachage des souches
- le nettoyage du terrain,
y compris toutes sujétions.
Ce prix s'applique  au m²  traité, mesuré sur place,</t>
  </si>
  <si>
    <t xml:space="preserve"> B403</t>
  </si>
  <si>
    <t>Évacuation des encombrants</t>
  </si>
  <si>
    <t xml:space="preserve"> B40301</t>
  </si>
  <si>
    <t>Évacuation des encombrants à la décharge de l' Entreprise</t>
  </si>
  <si>
    <t>Évacuation des encombrants à la décharge de l' Entreprise, comprenant :
- le ramassage  d'objets encombrants trouvés sur le terrain,
- leur chargement,
- leur évacuation à la décharge de l'entreprise,
y compris toutes sujétions
Ce prix s'applique au forfait réalisé,</t>
  </si>
  <si>
    <t xml:space="preserve"> B5</t>
  </si>
  <si>
    <t>Décapage et stockage de terre végétale,</t>
  </si>
  <si>
    <t xml:space="preserve"> B501</t>
  </si>
  <si>
    <t>Décapage et stockage de terre végétale en ZAC</t>
  </si>
  <si>
    <t xml:space="preserve"> B50101</t>
  </si>
  <si>
    <t>Décapage et stockage de terre végétale en ZAC avec transport  sur une distance &lt; à 500m</t>
  </si>
  <si>
    <t xml:space="preserve"> m³</t>
  </si>
  <si>
    <t>Décapage, stockage de terre végétale en ZAC, avec transport, sur une distance &lt; à 500m comprenant :
- le décapage sur une profondeur de 30cm environ,
- le chargement,
- le transport,
- le stockage sur zone définie par le maître d'oeuvre.
Ce prix s'applique au m3 mesuré en place,</t>
  </si>
  <si>
    <t xml:space="preserve"> B50102</t>
  </si>
  <si>
    <t>Décapage et stockage de terre végétale en ZAC, avec transport, sur une distance &gt; à 500m</t>
  </si>
  <si>
    <t>Décapage, stockage de terre végétale en ZAC avec transport, sur une distance &gt; à 500m, comprenant :
- le décapage sur une profondeur de 30cm environ,
- le chargement,
- le transport,
- le stockage sur zone définie par le maître d'oeuvre .
Ce prix s'applique au m3 mesuré en place,</t>
  </si>
  <si>
    <t xml:space="preserve"> B502</t>
  </si>
  <si>
    <t>Décapage et stockage de terre végétale hors ZAC</t>
  </si>
  <si>
    <t xml:space="preserve"> B50201</t>
  </si>
  <si>
    <t>Décapage et stockage de terre végétale hors ZAC, avec transport, sur une distance &lt; à 1km</t>
  </si>
  <si>
    <r>
      <t xml:space="preserve">Dépose de jeux  </t>
    </r>
    <r>
      <rPr>
        <b/>
        <sz val="10"/>
        <color indexed="10"/>
        <rFont val="Arial"/>
        <family val="2"/>
      </rPr>
      <t xml:space="preserve">équipt </t>
    </r>
    <r>
      <rPr>
        <b/>
        <sz val="10"/>
        <rFont val="Arial"/>
        <family val="2"/>
      </rPr>
      <t>avec récupération</t>
    </r>
  </si>
  <si>
    <t>Abattage simple d' un arbre de à 0,50m à 1,00m de diamètre, sans essouchement, sur espace public comprenant  :
- l'installation d' un périmètre de protection,
- l'abattage de l' arbre,
- le tronçonnage,
- le broyage,
- l'évacuation des produits (des éléments du tronc, branches, feuilles, sciure...) à la décharge de l'Entreprise,
- le nettoyage du terrain,
y compris toutes sujétions.
Ce prix s'applique à l'unité comptée en place,</t>
  </si>
  <si>
    <t xml:space="preserve"> B30204</t>
  </si>
  <si>
    <t>Démontage d' un arbre de 0,50m à 1,00m de diamètre, sans essouchement,  sur espace public</t>
  </si>
  <si>
    <t>Démontage d' un arbre de à 0,50m à 1,00m de diamètre, sans essouchement, sur espace public comprenant : 
- l'installation d' un périmètre de protection
- le démontage du tronc, des branches charpentières par tronçons de 1,00m de longueur,
- l' évacuation, des produits (des éléments du tronc, branches, feuilles, sciure...) à la décharge de l'Entreprise,
- le nettoyage du terrain,
y compris toutes sujétions.
Ce prix s'applique à l'unité comptée en place,</t>
  </si>
  <si>
    <t xml:space="preserve"> B30205</t>
  </si>
  <si>
    <t>Abattage simple d' un arbre de diamètre &gt; à 1,00m, sans essouchement, sur espace public</t>
  </si>
  <si>
    <t>Abattage simple d' un arbre de diamètre &gt; à 1,00m, sans essouchement, sur espace public comprenant  :
- l'installation d' un périmètre de protection,
- l'abattage de l' arbre,
- le tronçonnage,
- le broyage,
- l'évacuation des produits (des éléments du tronc, branches, feuilles, sciure...) à la décharge de l'Entreprise,
- le nettoyage du terrain,
y compris toutes sujétions.
Ce prix s'applique à l'unité comptée en place,</t>
  </si>
  <si>
    <t xml:space="preserve"> B30206</t>
  </si>
  <si>
    <t>Démontage d' un arbre de diamètre &gt; à 1,00m  sur espace public</t>
  </si>
  <si>
    <t xml:space="preserve">Dépose de mobiliers  avec évacuation </t>
  </si>
  <si>
    <t>ml</t>
  </si>
  <si>
    <t>U</t>
  </si>
  <si>
    <t>Évacuation des encombrants à la décharge</t>
  </si>
  <si>
    <t xml:space="preserve">Décapage et stockage de terre végétale </t>
  </si>
  <si>
    <t>Démolition d'ouvrages superficiels de pavage, dallage pierres ou autres matériaux avec  récupération (sur 10cm)</t>
  </si>
  <si>
    <t>Réalisation d'un enduit au mortier de ciment</t>
  </si>
  <si>
    <t>Réalisation d'un enduit au mortier de ciment, comprenant :
- la réalisation d'un enduit au mortier de ciment  2 couches
- la façon de feuillure et d' arête ,
y compris toutes sujétions .
Ce prix s'applique au mètre carré, mesuré en place,</t>
  </si>
  <si>
    <t xml:space="preserve"> F304</t>
  </si>
  <si>
    <t>Sablage</t>
  </si>
  <si>
    <t xml:space="preserve"> F30401</t>
  </si>
  <si>
    <t>Sablage mécanique</t>
  </si>
  <si>
    <t>Sablage mécanique, comprenant :
- la réalisation d' un sablage mécanique,
- la protection du site et des personnes
- le nettoyage du chantier de sablage,
y compris toutes sujétions.
Ce prix s'applique au mètre carré, mesuré en place,</t>
  </si>
  <si>
    <t xml:space="preserve"> F305</t>
  </si>
  <si>
    <t>Grenaillage, bouchardage</t>
  </si>
  <si>
    <t xml:space="preserve"> F30501</t>
  </si>
  <si>
    <t>Grenaillage, bouchardage mécanique</t>
  </si>
  <si>
    <t>Grenaillage, bouchardage mécanique comprenant :
- la réalisation de grenaillage ou bouchardage mécanique
- le nettoyage du chantier ,
y compris toutes sujétions.
Ce prix s'applique au mètre carré, mesuré en place,</t>
  </si>
  <si>
    <t xml:space="preserve"> F306</t>
  </si>
  <si>
    <t>Désactivation de parois verticales</t>
  </si>
  <si>
    <t xml:space="preserve"> F30601</t>
  </si>
  <si>
    <t>Réalisation de surface désactivée sur paroi verticale</t>
  </si>
  <si>
    <t>Réalisation de surface désactivée sur paroi verticale, comprenant :
- la réalisation de  surface désactivée sur paroi verticale,
- le nettoyage du chantier,
y compris toutes sujétions.
Ce prix s'applique au mètre carré, mesuré en place,</t>
  </si>
  <si>
    <t xml:space="preserve"> F4</t>
  </si>
  <si>
    <t>Soutènement</t>
  </si>
  <si>
    <t xml:space="preserve"> F401</t>
  </si>
  <si>
    <t>Muret en pierre sèche</t>
  </si>
  <si>
    <t xml:space="preserve"> F40101</t>
  </si>
  <si>
    <t>Réalisation de muret en pierre sèche</t>
  </si>
  <si>
    <t>Réalisation de muret en pierre sèche, comprenant :
- La présentation au maître d'œuvre de plusieurs échantillons de la pierre pour validation,
- la fourniture et la mise en œuvre des pierres,
- le respect des détails de calepinage (voir carnet de détails),
y compris toutes sujétions.
Ce prix s'applique au mètre cube de matériaux mesuré en place,</t>
  </si>
  <si>
    <t xml:space="preserve"> F402</t>
  </si>
  <si>
    <t>Gabion ( remplissage manuel, mécanique, avec appareillage manuel, en vrac,…)</t>
  </si>
  <si>
    <t xml:space="preserve"> F40201</t>
  </si>
  <si>
    <t>Réalisation et mise en place de gabion 
- avec remplissage mécanique de pierre</t>
  </si>
  <si>
    <t>Réalisation et mise en place de gabion- avec remplissage mécanique de pierre  comprenant:
- La présentation au maître d'œuvre de plusieurs échantillons de la pierre ,ainsi que des cages acier ( mailles et diamètre des fils ) pour validation ,
- la fourniture, le transport et la mise en œuvre des cages acier ,
- la fourniture, le transport et la mise en œuvre mécanique des pierres,
 le respect des détails de calepinage (voir carnet de détails),
y compris toutes sujétions.
Ce prix s'applique au mètre cube de matériaux mesuré en place,</t>
  </si>
  <si>
    <t xml:space="preserve"> F40202</t>
  </si>
  <si>
    <t>Réalisation et mise en place de gabion avec mise en œuvre manuelle du parement, face supérieure et remplissage mécanique de pierre,</t>
  </si>
  <si>
    <t>Réalisation et mise en place de gabion avec mise en œuvre manuelle du parement, face supérieure et remplissage mécanique de pierre, comprenant :
- La présentation au maître d'œuvre de plusieurs échantillons de la pierre ,ainsi que des cages acier ( mailles et diamètre des fils ) pour validation
- la fourniture, le transport et la mise en œuvre de cages acier entièrement repliables y compris crochets de rigidité
- assemblage des parois par spirales multivrilles,
- la fourniture, le transport des pierres
- la mise en œuvre manuelle des pierres au droit  des faces visibles (parois verticales et face supérieure des gabions)
- le  remplissage mécanique de pierre,
- le respect des détails de calepinage (voir carnet de détails),
y compris toutes sujétions.
Ce prix s'applique au mètre cube de matériaux mesuré en place,</t>
  </si>
  <si>
    <t xml:space="preserve"> F403</t>
  </si>
  <si>
    <t>Enrochement</t>
  </si>
  <si>
    <t xml:space="preserve"> F40301</t>
  </si>
  <si>
    <t>Fourniture et mise en place d'enrochement type schiste - 80x80x80,</t>
  </si>
  <si>
    <t>Création de talus par intervention manuelle</t>
  </si>
  <si>
    <t>Création de Talus par intervention manuelle comprenant :
- la façon de talus réalisé manuellement,
- le raccordement avec le terrain naturel,
- l'apport de terre végétale et sa  mise en forme,
- l’ameublissement, l’épierrage, l’émiettement des mottes,
Ce prix s'applique au mètre cube de matériaux mesuré en place,</t>
  </si>
  <si>
    <t xml:space="preserve"> C502</t>
  </si>
  <si>
    <t>création fossés</t>
  </si>
  <si>
    <t>Fourniture et pose de caniveau module CC1 largeur 0,40m, comprenant :
- le règlement soigné de l'encaissement,
- la fondation de béton de 0,10 m d'épaisseur (voir CCTP) 
- le garnissage des joints au mortier de ciment.
Ce prix s'applique au mètre linéaire mesuré en place,</t>
  </si>
  <si>
    <t xml:space="preserve"> G10703</t>
  </si>
  <si>
    <t>Réalisation de caniveau en béton désactivé à double pente</t>
  </si>
  <si>
    <t>Réalisation de caniveau en béton désactivé à double pente comprenant :
- le règlement soigné de l'encaissement,
- la fourniture et la mise en oeuvre du béton avec fibres et granulats selon prescription maîtrise d'oeuvre (10/14 La Flèche et Saint Fraimbault),
- la fourniture et la mise en oeuvre du coffrage de rive,
- l'humidification de la plate-forme,
- la réalisation de la forme, le talochage et le lissage,
- la fourniture et la mise en place des joints en P.V.C ou le sciage (joint de dilatation),
- l'application du désactivant,
- la désactivation de la surface au moyen d'un jet haute pression.
Ce prix s'applique au mètre carré de surface mesurée en place,</t>
  </si>
  <si>
    <t xml:space="preserve"> G2</t>
  </si>
  <si>
    <t>Couche de fondation (géotextile, matériaux crus, traités)
Préparation fond de forme (voir terrassement)</t>
  </si>
  <si>
    <t xml:space="preserve"> G201</t>
  </si>
  <si>
    <t>Couche en matériaux crus,</t>
  </si>
  <si>
    <t xml:space="preserve"> G20101</t>
  </si>
  <si>
    <t>Fourniture et mise en oeuvre de granulat primaire 0/150</t>
  </si>
  <si>
    <t>Fourniture et mise en oeuvre de granulat primaire 0/150, comprenant :
 - la fourniture et la mise en oeuvre des matériaux prévus au C.C.T.P.
- le transport,
- la mise en oeuvre,
- le dressement de la forme et le compactage seront payés respectivement au prix  C3-01-01.
Ce prix s'applique au mètre cube de matériaux mis en oeuvre,</t>
  </si>
  <si>
    <t xml:space="preserve"> G20102</t>
  </si>
  <si>
    <t>Fourniture et mise en oeuvre de granulat primaire 0/100</t>
  </si>
  <si>
    <t>Fourniture et mise en oeuvre de granulat primaire 0/100, comprenant :
- la fourniture
- le transport,
- la mise en oeuvre,
- le dressement de la forme et le compactage seront payés respectivement au prix  C3-01-01.
Ce prix s'applique au mètre cube de matériaux mis en oeuvre,</t>
  </si>
  <si>
    <t xml:space="preserve"> G20103</t>
  </si>
  <si>
    <t>Fourniture et mise en oeuvre de pierre cassée 20/40</t>
  </si>
  <si>
    <t>Fourniture et mise en oeuvre de pierre cassée 20/40 pour constitution d'un massif drainant.
Ce prix s'applique au mètre cube de matériaux mis en oeuvre,</t>
  </si>
  <si>
    <t xml:space="preserve"> G20104</t>
  </si>
  <si>
    <t>Fourniture et mise en oeuvre de pierre cassée 40/70</t>
  </si>
  <si>
    <t>Fourniture et pose d'un regard avec tampon 40 x 40 comprenant :
- la fourniture du regard préfabriqué en béton de forme carré et des matériaux nécessaires à la réalisation du radier,
- les fouilles pour la réalisation du regard y compris évacuation,
- la construction d'un radier en béton dosé à 350Kg lissé intérieurement,
- la pose du regard avec bac de décantation
- la réalisation de trous pour le passage des canalisations,
- le jointoiement soigné à l'aide d'un mortier de ciment,
- la couverture par tampon de 40 x 40,
- raccordement altimétrique avec le sol environnant sans présenter de risque pour le public,
y compris toutes sujétions.
Ce prix s'applique à l'unité comptée en place,</t>
  </si>
  <si>
    <t xml:space="preserve"> E20402</t>
  </si>
  <si>
    <t>Fourniture et pose d'un regard avec tampon 60 x 60</t>
  </si>
  <si>
    <t>Fourniture et pose d'un regard avec tampon 60 x 60 comprenant :
- la fourniture du regard préfabriqué en béton de forme carré et des matériaux nécessaires à la réalisation du radier,
- les fouilles pour la réalisation du regard y compris évacuation,
- la construction d'un radier en béton dosé à 350Kg lissé intérieurement,
- la pose du regard avec bac de décantation
- la réalisation de trous pour le passage des canalisations,
- le jointoiement soigné à l'aide d'un mortier de ciment,
- la couverture par tampon de 60 x 60,
- raccordement altimétrique avec le sol environnant sans présenter de risque pour le public,
y compris toutes sujétions.
Ce prix s'applique à l'unité comptée en place,</t>
  </si>
  <si>
    <t xml:space="preserve"> E20403</t>
  </si>
  <si>
    <t>Plus-value pour tampon remplissable</t>
  </si>
  <si>
    <t>Plus-value pour tampon remplissable comprenant :
- la fourniture et la mise en place de la cornière et du tampon remplissable,
- raccordement altimétrique avec le sol environnant sans présenter de risque pour le public,
y compris toutes sujétions.
Ce prix s'applique à l'unité comptée en place,</t>
  </si>
  <si>
    <t xml:space="preserve"> E20404</t>
  </si>
  <si>
    <t>Fourniture et pose d'un regard à grille 40 x 40</t>
  </si>
  <si>
    <t>Fourniture et pose d'un regard à grille 40 x 40 comprenant :
- la fourniture du regard préfabriqué en béton de forme carré et des matériaux nécessaires à la réalisation du radier.
- les fouilles pour la réalisation du regard y compris évacuation,
- la construction d'un radier en béton dosé à 350Kg lissé intérieurement,
- la pose du regard avec bac de décantation,
- la réalisation de trous pour le passage des canalisations,
- le jointoiement soigné à l'aide d'un mortier de ciment,
- Fourniture et pose de cornière,
- couverture par la grille,
- raccordement altimétrique avec le sol environnant sans présenter de risque pour le public,
y compris toutes sujétions.
Ce prix s'applique à l'unité comptée en place,</t>
  </si>
  <si>
    <t xml:space="preserve"> E20405</t>
  </si>
  <si>
    <t>Fourniture et pose d'un regard à grille 35 x 70</t>
  </si>
  <si>
    <t>Fourniture et pose d'un regard à grille 35 x 70 comprenant :
- la fourniture du regard préfabriqué en béton de forme carré et des matériaux nécessaires à la réalisation du radier.
- les fouilles pour la réalisation du regard y compris évacuation,
- la construction d'un radier en béton dosé à 350Kg lissé intérieurement,
- la pose du regard avec bac de décantation
- la réalisation de trous pour le passage des canalisations,
- le jointoiement soigné à l'aide d'un mortier de ciment,
- fourniture et pose de cornière,
- couverture par la grille,
- raccordement altimétrique avec le sol environnant sans présenter de risque pour le public,
y compris toutes sujétions.
Ce prix s'applique à l'unité comptée en place,</t>
  </si>
  <si>
    <t xml:space="preserve"> E20406</t>
  </si>
  <si>
    <t>Fourniture et pose d'un regard borgne 40 x 40</t>
  </si>
  <si>
    <t>Réalisation d'une fosse de plantation pour arbre comprenant :
- le piquetage et l'implantation des fosses,
- le décaissement à une profondeur d' 1,30m maximum sur une surface de 6m2,
- évacuation des déblais à la décharge de l'entreprise,
- décompactage du fond de la fosse et griffage des parois,
-la protection des réseaux rencontrés,
y compris toutes sujétions.
Ce prix s'applique au mètre cube mesuré en place :</t>
  </si>
  <si>
    <t xml:space="preserve"> C3</t>
  </si>
  <si>
    <t>Dressement et nivellement du fond de forme</t>
  </si>
  <si>
    <t xml:space="preserve"> C301</t>
  </si>
  <si>
    <t xml:space="preserve"> C30101</t>
  </si>
  <si>
    <t>Dressement du fond de forme</t>
  </si>
  <si>
    <t xml:space="preserve"> C50201</t>
  </si>
  <si>
    <t>Création de fossés par intervention mécanique</t>
  </si>
  <si>
    <t>Création de fossés par intervention mécanique comprenant :
- la façon de fossé d'une profondeur maxi de 60cm avec engin mécanique,
- le raccordement avec le terrain naturel,
- l'apport de terre végétale et sa  mise en forme,
- l’ameublissement, l’épierrage, l’émiettement des mottes,
Ce prix s'applique au mètre cube mesuré en place,</t>
  </si>
  <si>
    <t xml:space="preserve"> C50202</t>
  </si>
  <si>
    <t>Création de fossés par intervention manuelle</t>
  </si>
  <si>
    <t>Création de fossés par intervention manuelle comprenant :
- la façon de fossé manuellement,
- le raccordement avec le terrain naturel,
- l'apport de terre végétale et sa mise en forme
- l’ameublissement, l’épierrage, l’émiettement des mottes,
Ce prix s'applique au mètre cube  mesuré en place,</t>
  </si>
  <si>
    <t xml:space="preserve"> C503</t>
  </si>
  <si>
    <t>Création de noues</t>
  </si>
  <si>
    <t xml:space="preserve"> C50301</t>
  </si>
  <si>
    <t>Création de noue par intervention mécanique</t>
  </si>
  <si>
    <t>Création de noues par intervention mécanique comprenant :
- la façon de noue avec engin mécanique,
- le raccordement avec le terrain naturel,
- l'apport de terre végétale et sa mise en forme,
- l’ameublissement, l’épierrage, l’émiettement des mottes,
Ce prix s'applique au mètre cube de matériau mesuré en place,</t>
  </si>
  <si>
    <t xml:space="preserve"> C50302</t>
  </si>
  <si>
    <t>Création de noue par intervention manuelle</t>
  </si>
  <si>
    <t>Dressement du fond de forme comprenant :
- le nivellement du fond de forme selon les pentes définies dans le projet avec un engin mécanique type niveleuse,
- le compactage général de la forme,
Ce prix s'applique au mètre carré de surface mesurée en place,</t>
  </si>
  <si>
    <t xml:space="preserve"> C4</t>
  </si>
  <si>
    <t>Reprofilage de talus par intervention manuelle comprenant :
- la reprise de terre végétale,
- la façon de talus réalisée manuellement,
- le raccordement avec le terrain naturel,
- l'apport de terre végétale et sa mise en forme,
- l’ameublissement, l’épierrage, l’émiettement des mottes,
Ce prix s'applique au mètre carré de surface mesurée en place,</t>
  </si>
  <si>
    <t xml:space="preserve"> C505</t>
  </si>
  <si>
    <t>Reprofilage fossé</t>
  </si>
  <si>
    <t xml:space="preserve"> C50501</t>
  </si>
  <si>
    <t>Reprofilage fossé par intervention mécanique</t>
  </si>
  <si>
    <t>Reprofilage de fossés par intervention mécanique comprenant :
- la façon de fossé avec engin mécanique,
- la reprise de terre végétale,
- l'apport de terre végétale et sa mise en forme,
- le raccordement avec le terrain naturel
- l’ameublissement, l’épierrage, l’émiettement des mottes,
Ce prix s'applique au mètre linéaire mesuré en place,</t>
  </si>
  <si>
    <t xml:space="preserve"> C50502</t>
  </si>
  <si>
    <t>Reprofilage fossé par intervention manuelle</t>
  </si>
  <si>
    <t>Reprofilage de fossés parc intervention manuelle comprenant :
- la façon de fossé réalisée manuellement,
- la reprise de terre végétale,
- l'apport de terre végétale et sa mise en forme,
- le raccordement avec le terrain naturel
- l’ameublissement, l’épierrage, l’émiettement des mottes,
Ce prix s'applique au mètre linéaire mesuré en place,</t>
  </si>
  <si>
    <t xml:space="preserve"> C506</t>
  </si>
  <si>
    <t>Reprofilage noues</t>
  </si>
  <si>
    <t xml:space="preserve"> C50601</t>
  </si>
  <si>
    <t>Reprofilage de noue par intervention mécanique</t>
  </si>
  <si>
    <t>Reprofilage de noues par intervention mécanique comprenant :
- la façon de noues avec engin mécanique,
- la reprise de terre végétale,
- l'apport de terre végétale et sa mise en forme,
- le raccordement avec le terrain naturel
- l’ameublissement, l’épierrage, l’émiettement des mottes,
Ce prix s'applique au mètre linéaire mesuré en place,</t>
  </si>
  <si>
    <t xml:space="preserve"> C50602</t>
  </si>
  <si>
    <t>Reprofilage de noue par intervention manuelle</t>
  </si>
  <si>
    <t>Mise en forme mécanique de finition (enfouisseur de pierre)</t>
  </si>
  <si>
    <t>Régalage manuel de finition (rateau)</t>
  </si>
  <si>
    <t>Dépose de regard (avec transport)</t>
  </si>
  <si>
    <t>Canalisations (Tuyaux, drains) y compris sable et fermeture de tranchée</t>
  </si>
  <si>
    <t>Fourniture et pose de tuyaux PVC Ø 160 CR4</t>
  </si>
  <si>
    <t>Fourniture et pose de tuyaux PVC Ø 200 CR4</t>
  </si>
  <si>
    <t>Fourniture et mise en place de mélange terreux pour terrasse comprenant :
- la réalisation du mélange selon la répartition suivante : Terre végétale 35%, compost 15%, Pouzzolane 5/10 30%, Argile expansée 20%,
- la fourniture et livraison du mélange sur le chantier,
- la répartition du mélange sur les zones de plantation, y compris toutes sujétions de mise en place à raison de 60 cm pour les massifs et 1,00m pour les arbres.
y compris les analyses de terre végétale réalisées conformément au CCTP.
Ce prix s'applique au mètre cube de matériau mis en oeuvre,</t>
  </si>
  <si>
    <t xml:space="preserve"> D203</t>
  </si>
  <si>
    <t>Fourniture de mélange terre / pierre (pour fosse unitaire ou linéaire)</t>
  </si>
  <si>
    <t xml:space="preserve"> D20301</t>
  </si>
  <si>
    <t>Fourniture et mise en place de mélange terre / pierre</t>
  </si>
  <si>
    <t>Fourniture et mise en place de mélange terre / pierre comprenant :
- La réalisation du mélange  et approvisionnement sur le chantier,
- La mise en œuvre du mélange par couches successives,
- mise en place de sable pour le trou de plantation à raison de 1m3 par arbre
y compris les analyses de terre réalisées conformément au CCTP.
Ce prix s'applique au mètre cube de matériaux mis en oeuvre,</t>
  </si>
  <si>
    <t xml:space="preserve"> D3</t>
  </si>
  <si>
    <t>Fourniture d'amendement</t>
  </si>
  <si>
    <t xml:space="preserve"> D301</t>
  </si>
  <si>
    <t>Fourniture de terreau horticole</t>
  </si>
  <si>
    <t xml:space="preserve"> D30101</t>
  </si>
  <si>
    <t>Fourniture et mise en place de terreau horticole</t>
  </si>
  <si>
    <t>Exécution d'une surface gravillonnée en gravillons concassé 4/6 ou 8/10, (type mignonette) ép.= 4 cm, comprenant :
- la fourniture à pied d'œuvre,
- l'épandage manuel en couche régulière de 4 cm,
- le cylindrage,
- la couche de fondation se réfèrera au chapitre G2-01 
Ce prix s'applique au mètre carré de surface mesurée en place,</t>
  </si>
  <si>
    <t xml:space="preserve"> G30109</t>
  </si>
  <si>
    <t>Exécution d'une surface gravillonnée en gravillons concassé 0/4 ou 0/12, ép.= 4 cm
exemple : jardins familiaux Poterie</t>
  </si>
  <si>
    <t>Réalisation d'un constat d'huissier avant le démarrage des travaux, comprenant : 
- la constitution du rapport détaillé sur l'état des lieux avant démarrage du chantier,
- l'établissement des documents photographiques, l'ensemble en deux exemplaires.
y compris toutes sujétions.
Ce prix s'applique au forfait réalisé,</t>
  </si>
  <si>
    <t xml:space="preserve"> A2</t>
  </si>
  <si>
    <t>Sondage</t>
  </si>
  <si>
    <t xml:space="preserve"> A20001</t>
  </si>
  <si>
    <t>Réalisation d'un sondage manuel</t>
  </si>
  <si>
    <t xml:space="preserve"> u</t>
  </si>
  <si>
    <t>Réalisation d'un sondage manuel, comprenant :
- le décaissement manuel au lieu indiqué par la maître d'œuvre en vue de recherche dans le sol sur une épaisseur de : 
        - 15 cm pour les prairies,
        - 30 cm pour les gazons,
        - 60 cm pour des plantations arbustives,
- la protection éventuelle de la fouille à l'aide de barrières de chantier,
- le remblaiement soigné après constat en présence du maître d'oeuvre.
y compris toutes sujétions.
ce prix s'applique à l'unité,</t>
  </si>
  <si>
    <t xml:space="preserve"> A20002</t>
  </si>
  <si>
    <t>Réalisation d'un sondage mécanique</t>
  </si>
  <si>
    <t>Réalisation d'un sondage mécanique, comprenant :
- le décaissement à l'aide d'un tractopelle ou similaire au lieu indiqué par le maître d'œuvre en vue de recherches dans le sol sur une épaisseur de : 
        - 15 cm pour les prairies,
        - 30 cm pour les gazons,
        - 60 cm pour des plantations arbustives,
        - 130 cm pour les arbres,
- la protection éventuelle de la fouille à l'aide de barrières de chantier,
- le remblaiement soigné après constat en présence du maître d'oeuvre.
y compris toutes sujétions.
ce prix s'applique à l'unité,</t>
  </si>
  <si>
    <t xml:space="preserve"> A3</t>
  </si>
  <si>
    <t>Analyse de terre végétale</t>
  </si>
  <si>
    <t xml:space="preserve"> A30001</t>
  </si>
  <si>
    <t>Analyse physico-chimique d'un échantillon de terre végétale</t>
  </si>
  <si>
    <t>Stabilisation d'un sol en place selon un procédé type IONISOL, ECOVOIE, ou équivalent, comprenant :
- la scarification du sol sur 10 à 15 cm de profondeur, 
- l'écrêtage et concassage des gros éléments, jusqu'à obtention d'un sol 0/40mm,
- l'épandage du liant de façon homogène selon quantités prescrites par le fournisseur,
- le malaxage du sol (herse rotative ou rotavator),
- le nivellement puis compactage du sol selon les recommandations du fournisseur,
y compris toutes sujétions.
Ce prix s'applique au mètre carré de surface mesurée en place,</t>
  </si>
  <si>
    <t xml:space="preserve"> G30210</t>
  </si>
  <si>
    <t>Exécution d'une semi-pénétration bicouches sur empierrement</t>
  </si>
  <si>
    <t>Exécution d'une semi-pénétration bicouches sur empierrement, comprenant :
 - le répandage d'une première couche de liant sur empierrement à raison de 2 kg de bitume pur au m² suivi d'un gravillonnage au gravillon 8/12 de concassage à raison de 15 litres au m²,
- répandage d'une deuxième couche de liant à raison de 1,5 kg de bitume au m² suivi d'un gravillonnage au gravillon 3/8 de concassage à raison de 12 litres au m².
Ce prix s'applique au mètre carré de surface mesurée en place,</t>
  </si>
  <si>
    <t xml:space="preserve"> G30211</t>
  </si>
  <si>
    <t>Plus-value manuelle</t>
  </si>
  <si>
    <t>Plus-value manuelle au prix G3-02-05 dans les zones où l'intervention manuelle est nécessaire.
Ce prix s'applique au mètre carré de surface mesurée en place,</t>
  </si>
  <si>
    <t xml:space="preserve"> G30212</t>
  </si>
  <si>
    <t>Fourniture et mise en oeuvre de matériaux enrobés denses 0/10</t>
  </si>
  <si>
    <t>Fourniture et mise en oeuvre mécanique de matériaux enrobés denses 0/10 pour reprofilage et réalisation du tapis d'usure (voir CCTP) comprenant notamment:
- le balayage avant exécution,
- la fourniture à pied d'œuvre,
- l'exécution de la couche d'accrochage à l'émulsion de bitume,
- le régalage et le cylindrage,
- la réalisation des demi-caniveaux (si pas de caniveaux pavés),
- le nettoyage après exécution,
- la réalisation des engravures éventuelles y compris les sciages.
- l'application d'un joint périphérique, à l'émulsion de bitume (à 65%), exécuté à la lance sur une largeur de 10 à 20 cm, puis le sablage (sable de concassage) à la jonction des tapis en matériaux enrobés (ancien et nouveau).
Ce prix s'applique à la tonne de matériaux mise en oeuvre,</t>
  </si>
  <si>
    <t xml:space="preserve"> G30213</t>
  </si>
  <si>
    <t>Plus-value manuelle au prix G3-02-07 pour mise en oeuvre à la main dans les zones où l'intervention manuelle est nécessaire (trottoirs, parkings,...)
Ce prix s'applique à la tonne de matériaux mise en oeuvre,</t>
  </si>
  <si>
    <t xml:space="preserve"> G30214</t>
  </si>
  <si>
    <t>Fourniture et mise en oeuvre de matériaux enrobés 0/6, y compris plus-value manuelle</t>
  </si>
  <si>
    <t>Fourniture et mise en oeuvre mécanique de matériaux enrobés 0/6 y compris plus-value manuelle (voir CCTP) comprenant :
- le balayage avant exécution,
- la fourniture,
- le régalage et le cylindrage,
- le nettoyage après exécution,
- la réalisation des engravures éventuelles y compris les sciages,
- l'application d'un joint périphérique, à l'émulsion de bitume (à 65%), exécuté à la lance sur une largeur de 10 à 20 cm, puis le sablage (sable de concassage) à la jonction des tapis en matériaux enrobés (ancien et nouveau),
- la plus-value pour mise en oeuvre à la main dans les zones où l'intervention manuelle est nécessaire (trottoirs, zones encombrées, etc.).
Ce prix s'applique à la tonne de matériaux mise en oeuvre,</t>
  </si>
  <si>
    <t xml:space="preserve"> G30215</t>
  </si>
  <si>
    <t>Exécution d'un enrobé décoratif à base de liant végétal  type végécol ou équivalent,
(utilisable à partir de 13 à 15T soit 150m²)</t>
  </si>
  <si>
    <t>Dépose d'un portail ou d'un portillon avec évacuation à la décharge de l' Entreprise, comprenant :
- la dépose,
- l' évacuation à la décharge de l'Entrepreneur,
- les frais de mise en décharge,
y compris toutes sujétions.
Ce prix s'applique au forfait réalisé,</t>
  </si>
  <si>
    <t xml:space="preserve"> B109</t>
  </si>
  <si>
    <t>Dépose de  mobilier d'information et de communication  avec récupération</t>
  </si>
  <si>
    <t xml:space="preserve"> B10901</t>
  </si>
  <si>
    <t>Dépose de mobilier d'information et de communication, avec récupération et stockage à la Ferme des bois (armoire à règlement, plaque signalétique jardin, panneau de jalonnement, de règlement d' aire de jeux, de mâts, supports de panneaux de police),</t>
  </si>
  <si>
    <t>Dépose de mobilier d'information et de communication avec récupération et stockage à la Ferme des bois, rue du Professeur Maurice Odin, Rennes, comprenant :
- la dépose avec soin,
- le chargement
- le transport à la Ferme des bois
- le déchargement
y compris toutes sujétions.
Ce prix s'applique au forfait réalisé,</t>
  </si>
  <si>
    <t xml:space="preserve"> B110</t>
  </si>
  <si>
    <t>Dépose de  mobilier d'information et de communication  avec évacuation</t>
  </si>
  <si>
    <t xml:space="preserve"> B11001</t>
  </si>
  <si>
    <t>Dépose de mobilier d'information et de communication, avec évacuation à la décharge de l'Entreprise
(armoire à règlement, plaque signalétique jardin, panneau de jalonnement, de règlement d' aire de jeux, de mâts, supports de panneaux de police,,,)</t>
  </si>
  <si>
    <t>Dépose de mobilier d'information et de communication avec évacuation à la décharge de l'Entreprise, comprenant :
- la dépose,
- l'évacuation à la décharge de l'Entreprise
y compris toutes sujétions.
Ce prix s'applique au forfait réalisé,</t>
  </si>
  <si>
    <t xml:space="preserve"> B2</t>
  </si>
  <si>
    <t>Mise à blanc de parcelle boisée</t>
  </si>
  <si>
    <t xml:space="preserve"> B20001</t>
  </si>
  <si>
    <t>Mise à blanc de parcelles boisées avec évacuation</t>
  </si>
  <si>
    <t xml:space="preserve"> m²</t>
  </si>
  <si>
    <t>Terrassement pour tranchées réseaux, 
Voir C2</t>
  </si>
  <si>
    <t xml:space="preserve"> E2</t>
  </si>
  <si>
    <t>Assainissement (eau pluviale)</t>
  </si>
  <si>
    <t xml:space="preserve"> E201</t>
  </si>
  <si>
    <t>Dépose</t>
  </si>
  <si>
    <t xml:space="preserve"> E20101</t>
  </si>
  <si>
    <t>Dépose de regard</t>
  </si>
  <si>
    <t>Dépose de regard comprenant :
- le décaissement pour dégager le regard,
- la dépose et l'évacuation du regard à la décharge de l'entreprise,
- le remblaiement,
- le raccordement altimétrique avec le sol environnant sans présenter de risque pour le public,
y compris toutes sujétions.
Ce prix s'applique à l'unité comptée en place,</t>
  </si>
  <si>
    <t xml:space="preserve"> E20102</t>
  </si>
  <si>
    <t>Dépose de caniveau</t>
  </si>
  <si>
    <t>Dépose de caniveau comprend :
- le décaissement pour dégager le caniveau,
- la dépose et l'évacuation du caniveau,
- le remblaiement,
- le raccordement altimétrique avec le sol environnant sans présenter de risque pour le public,
y compris toutes sujétions.
Ce prix s'applique à l'unité comptée en place,</t>
  </si>
  <si>
    <t xml:space="preserve"> E202</t>
  </si>
  <si>
    <t>Piquage sur réseaux ville</t>
  </si>
  <si>
    <t xml:space="preserve"> E20201</t>
  </si>
  <si>
    <t>Piquage de canalisation sur réseau secondaire de la ville</t>
  </si>
  <si>
    <t>Piquage de canalisation sur réseau secondaire de la ville comprenant :
- la fouille,
- le percement du regard à -90cm maximum par rapport à la cote tampon,
- l'évacuation des déchets,
- l'emboîtement de la canalisation avec joint réalisé au mortier dosé à 350Kg,
y compris toutes sujétions.
Ce prix s'applique à l'unité comptée en place,</t>
  </si>
  <si>
    <t xml:space="preserve"> E20202</t>
  </si>
  <si>
    <t>Piquage de canalisation sur réseau primaire de la ville</t>
  </si>
  <si>
    <t>Piquage de canalisation sur réseau primaire de la ville comprenant :
- la fouille,
- le percement du regard à une profondeur supérieure à -90cm  par rapport à la cote tampon,
- l'évacuation des déblais,
- l'emboîtement de la canalisation avec joint réalisé au mortier dosé à 350Kg,
y compris toutes sujétions.
Ce prix s'applique à l'unité comptée en place,</t>
  </si>
  <si>
    <t xml:space="preserve"> E203</t>
  </si>
  <si>
    <t>Canalisations (Tuyaux, drains)</t>
  </si>
  <si>
    <t xml:space="preserve"> E20301</t>
  </si>
  <si>
    <t>Fourniture et pose de tuyaux PVC Ø 125</t>
  </si>
  <si>
    <t>Fourniture et pose de tuyaux PVC Ø 125 comprenant :
- la fourniture de canalisation en PVC Ø 125 avec bague d'étanchéité en élastomère,
- la fourniture, le transport et mise en place d'un lit de pose en fond de fouille composé de sablon sur 0,10m d'épaisseur,
- la pose des canalisations sur lit de sable,
 - le nettoyage intérieur des bavures,
- les  raccordements sur regard,
-la fourniture, le transport et mise en place d'un lit de pose sur la canalisation  sur 0,10m d'épaisseur,
-la fourniture et mise en place de grillage avertisseur,
-la réalisation du remblai compacté par couche de 0,20m maximum avec dame pneumatique,
-apport de terre végétale et régalage
-nettoyage général et évacuation en décharge des déblais et matériaux excédentaires,
y compris toutes sujétions.
Ce prix s'applique au mètre linéaire mesuré en place,</t>
  </si>
  <si>
    <t xml:space="preserve"> E20302</t>
  </si>
  <si>
    <t>Fourniture et pose de tuyaux PVC Ø 160</t>
  </si>
  <si>
    <t>Code Catalogue</t>
  </si>
  <si>
    <t>Code de Référence de l'Article</t>
  </si>
  <si>
    <t>Type d'Article(1ou2)</t>
  </si>
  <si>
    <t>Libellé de l'Article</t>
  </si>
  <si>
    <t>Code Unité de Mesure</t>
  </si>
  <si>
    <t>Code TVA</t>
  </si>
  <si>
    <t>Prix Unitaire Hors Taxe</t>
  </si>
  <si>
    <t>Texte Descriptif de l'Article</t>
  </si>
  <si>
    <t xml:space="preserve"> JAE</t>
  </si>
  <si>
    <t xml:space="preserve"> A</t>
  </si>
  <si>
    <t>OPERATIONS PREALABLES</t>
  </si>
  <si>
    <t xml:space="preserve"> </t>
  </si>
  <si>
    <t xml:space="preserve"> A1</t>
  </si>
  <si>
    <t>Constat d'huissier</t>
  </si>
  <si>
    <t xml:space="preserve"> A10001</t>
  </si>
  <si>
    <t>Exécution et fourniture de constat d'huissier</t>
  </si>
  <si>
    <t xml:space="preserve"> F</t>
  </si>
  <si>
    <t>Mise à niveau de regard 40x40 comprenant : 
- le terrassement pour dégagement du regard existant,
- l'évacuation des produits excédentaires à la décharge de l'entreprise,
- le démontage de l'élément de tête de façon à caler le cadre aux côtes du projet,
- l'arasement au niveau du sol fini avec reprise au mortier des surfaces apparentes soigneusement réglées,
- raccordement altimétrique avec le sol environnant sans présenter de risque pour le public,
y compris toutes sujétions.
Ce prix s'applique à l'unité comptée en place,</t>
  </si>
  <si>
    <t xml:space="preserve"> E20409</t>
  </si>
  <si>
    <t>Mise à niveau de regard 80x80</t>
  </si>
  <si>
    <t>Analyse physico-chimique d'un échantillon de terre végétale pour un volume de 250 m3 à mettre en place (prélèvement en présence du maître d'oeuvre). L'entreprise soumettra le nom du laboratoire à l'agrément du maître d'œuvre. 
L'analyse devra faire apparaître, comme précisé au CCTP:
- la valeur du PH eau,
- les teneurs en calcium, potassium, magnésium échangeable, phosphore assimilable, matière organique,
- l'analyse granulométrique complète,
- l'analyse devra faire apparaître les éventuelles corrections (PH, amendement,.....) 
y compris toutes sujétions.
ce prix s'applique à l'unité,</t>
  </si>
  <si>
    <t xml:space="preserve"> A4</t>
  </si>
  <si>
    <t>Protection des végétaux existants</t>
  </si>
  <si>
    <t xml:space="preserve"> A40001</t>
  </si>
  <si>
    <t>Mise en place de protection du tronc et de la couronne d'un arbre</t>
  </si>
  <si>
    <t>Mise en place de protection du tronc et de la couronne d'un arbre, comprenant :
- la mise en place de planches de protection 25/200 mm et de pneus sur le tronc,
- la mise en place d'une clôture provisoire (h=2,00m) à l'aplomb de la couronne de l'arbre + 1/3 du diamètre de la couronne,
- leur entretien pendant toute la durée des travaux, puis la dépose.
y compris toutes sujétions.
Ce prix s'applique à l'unité comptée en place,</t>
  </si>
  <si>
    <t xml:space="preserve"> A40002</t>
  </si>
  <si>
    <t>Mise en place d'une clôture provisoire pour la protection d'un groupe de végétaux</t>
  </si>
  <si>
    <t xml:space="preserve"> ml</t>
  </si>
  <si>
    <t>Mise en place d'une clôture provisoire pour la protection d'un groupe de végétaux, comprenant :
- des poteaux en bois diamètre 10/12 cm, longueur 2,50 m, espacés tous les 3 m avec jambes de force dans les angles et grandes longueurs,
- 4 fils de tension plastifiés vert avec raidisseurs
- du grillage plastifié vert, hauteur 1,75 m, maille 50x50 mm, fils diamètre 3 mm avec système d'accès à l'intérieur de cet enclos,
- leur entretien pendant toute la durée du chantier, puis la dépose.
y compris toutes sujétions.
Ce prix s'applique au mètre linéaire mesuré en place,</t>
  </si>
  <si>
    <t xml:space="preserve"> A5</t>
  </si>
  <si>
    <t>Préparation d'un arbre</t>
  </si>
  <si>
    <t xml:space="preserve"> A50001</t>
  </si>
  <si>
    <t>Préparation d'un arbre avant travaux</t>
  </si>
  <si>
    <t>Transport de matériaux en dehors du chantier distance &gt; 5km comprenant :
- l'évacuation des déblais par camion jusqu'à la décharge de l'entreprise,
y compris toutes sujétions.
Ce prix s'applique au mètre cube de matériaux mesuré en place,</t>
  </si>
  <si>
    <t xml:space="preserve"> C103</t>
  </si>
  <si>
    <t>Mise en décharge</t>
  </si>
  <si>
    <t xml:space="preserve"> C10301</t>
  </si>
  <si>
    <t>Mise en décharge de déblais inertes homogènes en décharge</t>
  </si>
  <si>
    <t xml:space="preserve"> t</t>
  </si>
  <si>
    <t>Evacuation de déblais inertes homogènes en décharge payante comprenant :
- l'évacuation des déblais par camion jusqu'à la décharge de l'entreprise,
y compris toutes sujétions.
Ce prix s'applique à la tonne de matériaux mise en œuvre,</t>
  </si>
  <si>
    <t xml:space="preserve"> C10302</t>
  </si>
  <si>
    <t>Mise en décharge de déblais inertes hétérogènes en décharge payante</t>
  </si>
  <si>
    <t>Evacuation de déblais inertes hétérogènes en décharge payante comprenant :
- l'évacuation des déblais par camion jusqu'à la décharge de l'entreprise,
y compris toutes sujétions.
Ce prix s'applique à la tonne de matériaux mis en œuvre,</t>
  </si>
  <si>
    <t xml:space="preserve"> C104</t>
  </si>
  <si>
    <t>Stockage des déblais</t>
  </si>
  <si>
    <t xml:space="preserve"> C10401</t>
  </si>
  <si>
    <t>Stockage provisoire  sur chantier sous forme d'andain des déblais excédentaires</t>
  </si>
  <si>
    <t>Stockage sur chantier comprenant :
- l'implantation de la zone de stockage après validation par le Maître d'Œuvre,
- la mise en andain des matériaux,
y compris toutes sujétions.
Ce prix s'applique au mètre cube de matériaux mesuré en place,</t>
  </si>
  <si>
    <t xml:space="preserve"> C2</t>
  </si>
  <si>
    <t>Tranchées, fouilles, fosses de plantations</t>
  </si>
  <si>
    <t xml:space="preserve"> C201</t>
  </si>
  <si>
    <t>Tranchées</t>
  </si>
  <si>
    <t xml:space="preserve"> C20101</t>
  </si>
  <si>
    <t>Réalisation de tranchée sur espace vert</t>
  </si>
  <si>
    <t>Réalisation de tranchée sur espace vert comprenant :
- le piquetage
- le décaissement et l'extraction des terres,
- la protection contre les eaux de toutes natures pendant l'exécution de la tranchée,
- les difficultés causées par les canalisations rencontrées,
- la mise en andain des déblais,
- le dressement du fond, l'entretien des parois,
- le chargement et évacuation en décharge des déblais impropres,
- la mise en place de la signalisation pour la sécurité du chantier,
y compris toutes sujétions,
Ce prix s'applique au mètre cube de matériaux mesuré en place,</t>
  </si>
  <si>
    <t xml:space="preserve"> C20102</t>
  </si>
  <si>
    <t>Réalisation de tranchée sur espace minéral</t>
  </si>
  <si>
    <t>Réalisation de tranchée sur espace minéral comprenant :
- le piquetage (utilisation éventuelle du BRH)
- le décaissement et l'extraction des terres,
- la protection contre les eaux de toutes natures pendant l'exécution de la tranchée,
- les difficultés causées par les canalisations rencontrées,
- la mise en andain des déblais,
- le dressement du fond, l'entretien des parois,
- le chargement et évacuation en décharge des déblais impropres,
- la mise en place de la signalisation pour la sécurité du chantier,
y compris toutes sujétions,
Ce prix s'applique au mètre cube de matériaux mesuré en place,</t>
  </si>
  <si>
    <t xml:space="preserve"> C202</t>
  </si>
  <si>
    <t>Fouilles</t>
  </si>
  <si>
    <t xml:space="preserve"> C20201</t>
  </si>
  <si>
    <t>Réalisation d'une fouille</t>
  </si>
  <si>
    <t>Réalisation et mise en place de gabion en treillis soudé (section 1m ) sans fondation
- avec remplissage mécanique de pierre</t>
  </si>
  <si>
    <t>m²</t>
  </si>
  <si>
    <t>Exécution d'une surface sablée semi stabilisée , ép.=3 à 4 cm, comprenant :
- la fourniture et le malaxage d'un sable de granulométrie 0/4 avec 1 % de chaux hydraulique NHL et 1% de ciment CPJ CEM II 32,5, 
- la mise en place sur forme sur une épaisseur de 3 à 4cm minimum ( le niveau fini sera supérieur d'environ 1 cm à celui des bordures, afin de prévoir les tassements ultérieurs),
- le compactage des matériaux mis en place,
- les difficultés dues au mobilier en place,
- l'humidification éventuelle ultérieure du revêtement (selon le climat),
Ponctuellement,  le sablé à mettre en place pourra ne pas être stabilisé à la demande du maître d'œuvre (ex : sur 4 m2 environ au droit d'un arbre).
Ce prix s'applique au mètre carré de surface mesurée en place,</t>
  </si>
  <si>
    <t xml:space="preserve"> G30202</t>
  </si>
  <si>
    <t>Exécution de surface sablée stabilisée par procédé type  ACTIV-SOL ou équivalent avec sable type Quélaron</t>
  </si>
  <si>
    <t>Réalisation de maçonnerie en béton pour muret, comprenant :
- la réalisation d'un coffrage
- la  fourniture, le façonnage et la mise en œuvre des armatures,
- la mise en œuvre de gravillons 6,3/25  dosés à 350kg/m3,
- les produits de cure et adjuvants éventuels autorisés par le Maître d' oeuvre
- la dépose du coffrage après séchage,
- le réglage et la finition des surfaces non coffrées ,
y compris toutes sujétions.
Ce prix s'applique au mètre carré mesuré en place,</t>
  </si>
  <si>
    <t xml:space="preserve"> F204</t>
  </si>
  <si>
    <t>Maçonnerie Béton ( escaliers et poteaux)</t>
  </si>
  <si>
    <t xml:space="preserve"> F20401</t>
  </si>
  <si>
    <t>Réalisation de maçonnerie en béton pour escaliers et poteaux</t>
  </si>
  <si>
    <t>Réalisation de maçonnerie en béton  pour escaliers et poteaux,  comprenant:
- la réalisation d'un coffrage,
- la  fourniture, le façonnage et la mise en œuvre des armatures,
- la mise en œuvre de gravillons 6,3/25  dosés à 350kg/m3,
- les produits de cure et adjuvants éventuels autorisés par le Maître d' oeuvre,
- la dépose du coffrage après séchage,
- le réglage et la finition des surfaces non coffrées,
y compris toutes sujétions.
Ce prix s'applique au mètre carré, mesuré en place,</t>
  </si>
  <si>
    <t xml:space="preserve"> F205</t>
  </si>
  <si>
    <t>Maçonnerie Matériaux Naturels ( pierres, briques, en parement, en pleine masse, …)</t>
  </si>
  <si>
    <t xml:space="preserve"> F20501</t>
  </si>
  <si>
    <t>Réalisation de maçonnerie en brique pleine masse ( largeur entre 22 et 45 cm ) sur chant</t>
  </si>
  <si>
    <t>Réalisation de maçonnerie en brique pleine masse ( largeur entre 22 et 45 cm ) sur chant, comprenant :
- La présentation au maître d'œuvre de plusieurs échantillons de la brique pour validation,
- la fourniture et la mise en œuvre des briques ,
- le scellement au mortier des briques posées sur chant,
- le respect des détails de calepinage (voir carnet de détails),
- la confection des joints pleins au mortier de ciment ép. = 1 cm,
- le nettoyage de la laitance des joints,
y compris toutes sujétions ,
Ce prix s'applique au mètre carré, mesuré en place,</t>
  </si>
  <si>
    <t xml:space="preserve"> F20502</t>
  </si>
  <si>
    <t>Réalisation de maçonnerie en brique pleine masse ( largeur entre 22 et 45 cm ) à plat</t>
  </si>
  <si>
    <t>Réalisation de maçonnerie en brique pleine masse ( largeur entre 22 et 45 cm ) sur chant, comprenant :
- La présentation au maître d'œuvre de plusieurs échantillons de la brique pour validation,
- la fourniture et la mise en œuvre des briques,
- le scellement au mortier des briques posées à plat,
- le respect des détails de calepinage (voir carnet de détails),
- la confection des joints pleins au mortier de ciment ép. = 1 cm ,
- le nettoyage de la laitance des joints,
y compris toutes sujétions ,
Ce prix s'applique au mètre carré, mesuré en place  :</t>
  </si>
  <si>
    <t xml:space="preserve"> F20503</t>
  </si>
  <si>
    <t>Réalisation d'un parement de brique  ( 5,5 x 22 x 10 cm ) sur muret béton ou Stépoc</t>
  </si>
  <si>
    <t>Réalisation d'un parement de brique  ( 5,5 x 22 x 10 cm ) sur muret béton ou Stépoc, comprenant :
- La présentation au maître d'œuvre de plusieurs échantillons de la brique pour validation,
- la fourniture et la mise en œuvre des briques,
- le scellement au mortier, des briques de parement sur muret béton ou Stepoc,
- le respect des détails de calepinage (voir carnet de détails),
- la confection des joints plats au mortier de ciment  ép. = 1 cm ,
- le nettoyage de la laitance des joints,
y compris toutes sujétions.
Ce prix s'applique au mètre carré, mesuré en place  :</t>
  </si>
  <si>
    <t xml:space="preserve"> F20504</t>
  </si>
  <si>
    <t>Réalisation d'un plaquage de briquette ( 5,5 x 22 x 1 cm ) sur muret béton ou Stépoc</t>
  </si>
  <si>
    <t>Réalisation d'un plaquage de briquette  ( 5,5 x 22 x 1 cm ) sur muret béton ou Stépoc, comprenant :
- La présentation au maître d'œuvre de plusieurs échantillons de la briquette pour validation,
- la fourniture et la mise en œuvre des briquettes,
- le scellement au mortier, des briquettes de plaquage posées à plat sur muret béton ou Stepoc
- le respect des détails de calepinage (voir carnet de détails),
- la confection des joints plats au mortier de ciment  ép. = 1 cm,
- le nettoyage de la laitance des joints,
y compris toutes sujétions.
Ce prix s'applique au mètre carré, mesuré en place,</t>
  </si>
  <si>
    <t xml:space="preserve"> F20505</t>
  </si>
  <si>
    <t>Démolition d' ouvrage en parpaings ou en briques, sans récupération</t>
  </si>
  <si>
    <t>Démolition d' ouvrage en parpaings ou en briques, sans récupération, comprenant :
- la démolition,
- le chargement,
- le transport,
- l'évacuation à la décharge de l' Entreprise,
y compris toutes sujétions.
Ce prix s'applique au m3 traité, mesuré sur place.</t>
  </si>
  <si>
    <t xml:space="preserve"> B60405</t>
  </si>
  <si>
    <t>Démolition d' ouvrage en béton armé</t>
  </si>
  <si>
    <t>Démolition d' ouvrage en béton armé, comprenant :
- la démolition,
- la découpe des armatures,
- le chargement,
- le transport,
- l'évacuation à la décharge de l' Entreprise,
y compris toutes sujétions.
Ce prix s'applique au m3 traité, mesuré sur place.</t>
  </si>
  <si>
    <t xml:space="preserve"> B605</t>
  </si>
  <si>
    <t>Démolition d' ouvrage en maçonnerie</t>
  </si>
  <si>
    <t xml:space="preserve"> B60501</t>
  </si>
  <si>
    <t>Démolition d' ouvrage en maçonnerie de pierre avec récupération</t>
  </si>
  <si>
    <t>Démolition d' ouvrage en maçonnerie de pierre avec récupération, comprenant :
- la démolition avec soin de l'ouvrage,
- le décrottage des pierres,
- le chargement,
- le transport,
- le déchargement,
- la mise en dépôt sur site, ou au dépôt défini par le maître d'oeuvre,
- l' évacuation des matériaux tout venant à la décharge de l'Entreprise,
y compris toutes sujétions.
Ce prix s'applique au m3 traité, mesuré en place,</t>
  </si>
  <si>
    <t xml:space="preserve"> B60502</t>
  </si>
  <si>
    <t>Démolition d' ouvrage en maçonnerie de pierre sans récupération</t>
  </si>
  <si>
    <t>Démolition d' ouvrage en maçonnerie sans récupération comprenant :
- la démolition,
- le chargement,
- le transport,
- l'évacuation à la décharge de l' Entreprise,
y compris toutes sujétions.
Ce prix s'applique au m3 traité, mesuré sur place,</t>
  </si>
  <si>
    <t xml:space="preserve"> B60503</t>
  </si>
  <si>
    <t>Plus-value au prix B6-05-01</t>
  </si>
  <si>
    <t>Plus-value au prix B6-05-01 pour :
- le tri des pierres
- la mise sur palette de poids &lt; à 1tonne
 y compris toutes sujétions.
Ce prix s'applique à l'unité comptée en place,</t>
  </si>
  <si>
    <t xml:space="preserve"> C</t>
  </si>
  <si>
    <t>TERRASSEMENT</t>
  </si>
  <si>
    <t xml:space="preserve"> C1</t>
  </si>
  <si>
    <t>Terrassements en déblais et remblais,</t>
  </si>
  <si>
    <t xml:space="preserve"> C101</t>
  </si>
  <si>
    <t>Terrassements</t>
  </si>
  <si>
    <t xml:space="preserve"> C10101</t>
  </si>
  <si>
    <t>Exécution mécanique des terrassements en déblai/remblai</t>
  </si>
  <si>
    <t>Démontage d' un arbre de à 0,50m à 1,00m de diamètre, sans essouchement, sur espace dégagé comprenant : 
- l' installation d' un périmètre de protection
- le démontage du tronc, des branches charpentières par tronçons de 1,00m de longueur,
- l' évacuation, des produits (des éléments du tronc, branches, feuilles, sciure...) à la décharge de l'Entreprise,
- le nettoyage du terrain,
y compris toutes sujétions.
Ce prix s'applique à l'unité comptée en place,</t>
  </si>
  <si>
    <t xml:space="preserve"> B30307</t>
  </si>
  <si>
    <t>Abattage simple d' un arbre de diamètre &gt; à 1,00m, sans essouchement, sur espace dégagé</t>
  </si>
  <si>
    <t>Fourniture et pose d'une bouche d'arrosage incongelable comprenant :
- la fourniture et la pose d'une bouche d'arrosage incongelable munie obligatoirement d'une clef carrée et d'un couvercle avec chaînette,
- le raccordement au réseau d'eau en dérivation depuis la fosse à compteur avec les raccords nécessaires,
y compris toutes sujétions
Ce prix s'applique à l'unité comptée en place,</t>
  </si>
  <si>
    <t xml:space="preserve"> E304</t>
  </si>
  <si>
    <t>Fontaines, points d'eau</t>
  </si>
  <si>
    <t xml:space="preserve"> E30401</t>
  </si>
  <si>
    <t>Fourniture et pose d'un point d'eau  sur bastaing (Jardin familiaux)</t>
  </si>
  <si>
    <t>Fourniture et pose d'un point d'eau sur bastaing  comprenant :
- le décaissement, le règlement et le compactage du fond de forme,
- la fourniture, façonnage pour passage du tuyau (voir détails) et pose du bastaing (19 x19 x150)  verticalement dans un massif de scellement,
- la fourniture et pose de la robinetterie sur le bastaing et raccordement à la canalisation,
- le comblement de la fouille y compris compactage et évacuation des déblais,
- l'essai et la mise en service du point d'eau.
Ce prix s'applique à l'unité comptée en place,</t>
  </si>
  <si>
    <t xml:space="preserve"> E30402</t>
  </si>
  <si>
    <t>Fourniture et pose d'une borne fontaine avec  grille d'évacuation et cuvette de récupération</t>
  </si>
  <si>
    <t>Fourniture et pose d'une borne fontaine avec  grille d'évacuation et cuvette de récupération comprenant :
- le décaissement, le règlement et le compactage du fond de forme,
- la réalisation du massif de scellement,
- la fourniture et pose de la borne fontaine type Bayard ou équivalent de couleur verte avec commande à bouton poussoir,
- la fourniture et pose de la grille d'évacuation sur le regard (§E2-04-04),
- la réalisation d'une cuvette en pavé (ou autre matériaux) de récupération  des eaux,
- le comblement de la fouille y compris compactage et évacuation des déblais,
- l'essai et la mise en service de la borne fontaine.
Ce prix s'applique à l'unité comptée en place,</t>
  </si>
  <si>
    <t xml:space="preserve"> E4</t>
  </si>
  <si>
    <t>Arrosage automatique</t>
  </si>
  <si>
    <t xml:space="preserve"> E401</t>
  </si>
  <si>
    <t>Appareillage,</t>
  </si>
  <si>
    <t xml:space="preserve"> E40101</t>
  </si>
  <si>
    <t>Fourniture d'une console de programmation</t>
  </si>
  <si>
    <t>Dépose d'une clôture en treillis soudé avec récupération et stockage sur le chantier, comprenant :
- la dépose avec soin des clôtures concernées,
- le stockage avec soin, 
- la protection des équipements stockés,
y compris toutes sujétions.
Ce prix s'applique au forfait réalisé,</t>
  </si>
  <si>
    <t xml:space="preserve"> B10502</t>
  </si>
  <si>
    <t>Dépose d'une clôture en treillis soudé avec récupération et stockage à la Ferme des bois</t>
  </si>
  <si>
    <t>Dépose d'une clôture en treillis soudé avec récupération et stockage à la Ferme des bois, rue du Professeur Maurice Audin, Rennes, comprenant :
- la dépose avec soin,
- le chargement,
- le transport à la Ferme des bois,
- le déchargement,
y compris toutes sujétions.
Ce prix s'applique au forfait réalisé,</t>
  </si>
  <si>
    <t xml:space="preserve"> B106</t>
  </si>
  <si>
    <t>Dépose d'une clôture avec évacuation</t>
  </si>
  <si>
    <t xml:space="preserve"> B10601</t>
  </si>
  <si>
    <t>Dépose d'une clôture avec évacuation à la décharge de l'Entreprise</t>
  </si>
  <si>
    <t>Dépose d'une clôture avec évacuation en décharge de l'Entreprise, comprenant :
- la dépose,
- l'évacuation à la décharge de l'Entreprise,
- les frais de mise en décharge
y compris toutes sujétions.
Ce prix s'applique au forfait réalisé,</t>
  </si>
  <si>
    <t xml:space="preserve"> B107</t>
  </si>
  <si>
    <t>Dépose d'un portail ou d'un portillon avec récupération</t>
  </si>
  <si>
    <t xml:space="preserve"> B10701</t>
  </si>
  <si>
    <t>Fourniture d'une console de programmation comprenant :
- la fourniture d'une console avec piles permettant de programmer les boîtiers de commande,
- la programmation des boîtiers de commande.
Ce prix s'applique à l'unité comptée en place,</t>
  </si>
  <si>
    <t xml:space="preserve"> E40102</t>
  </si>
  <si>
    <t>Fourniture et pose de programmateur autonome (à pile)</t>
  </si>
  <si>
    <t>Fourniture et pose de programmateur autonome (à pile) comprenant :
- la fourniture et pose du  boîtier de commande type T BOSS ou équivalent avec piles dans le regard
- le branchement sur l'électrovanne
y compris toutes sujétions.
Ce prix s'applique à l'unité comptée en place,</t>
  </si>
  <si>
    <t xml:space="preserve"> E40103</t>
  </si>
  <si>
    <t>Fourniture et pose de programmateur électronique (alimentation 230V)</t>
  </si>
  <si>
    <t>Fourniture et pose de programmateur électronique comprenant :
- la fourniture et pose du  boîtier de commande y compris par fixation sur mur avec vis inoxydable après validation par le maître d'œuvre de l'emplacement,
le raccordement du programmateur au réseau électrique avec mise à la terre,
- le branchement sur bornes des câbles reliant l'électrovanne,
-la fourniture de la notice technique du programmateur,
y compris toutes sujétions.
Ce prix s'applique à l'unité comptée en place,</t>
  </si>
  <si>
    <t xml:space="preserve"> E40104</t>
  </si>
  <si>
    <t>Fourniture et pose de régulateur de pression</t>
  </si>
  <si>
    <t>Fourniture et pose de régulateur de pression comprenant :
- la fourniture et pose d'un régulateur de pression pour réseau,
- le raccordement du régulateur sur la canalisation
y compris toutes sujétions.
Ce prix s'applique à l'unité comptée en place,</t>
  </si>
  <si>
    <t xml:space="preserve"> E40105</t>
  </si>
  <si>
    <t>Fourniture et pose d'une électrovanne 1"""" type 100PGA avec solénoïde</t>
  </si>
  <si>
    <t>Fourniture et pose d'une électrovanne 1"""" type 100PGA avec solénoïde comprenant :
- la fourniture et pose ,dans un regard, d'une électrovanne commandée par le programmateur,
- le raccordement au réseau hydraulique,
- la fourniture et pose d'une vanne manuelle de fermeture et d'une vanne de purge,
- fourniture et pose d'unions démontables et raccords nécessaires,
y compris toutes sujétions,
Ce prix s'applique à l'unité comptée en place,</t>
  </si>
  <si>
    <t>Réalisation de maçonnerie en agglos creux 0,15 x 0,25 x 0,50 comprenant :
- la fourniture et mise en œuvre des éléments d'agglo creux 0,20 x 0,25 x 0,50  ,
- la mise en oeuvre des chaînages horizontaux et verticaux avec âme métallique ,
y compris toutes sujétions.
Ce prix s'applique au mètre carré de surface  mesurée en place,</t>
  </si>
  <si>
    <t xml:space="preserve"> F20202</t>
  </si>
  <si>
    <t>Réalisation de maçonnerie en agglos creux 0,20 x 0,25 x 0,50</t>
  </si>
  <si>
    <t>Réalisation de maçonnerie en agglos creux 0,20 x 0,25 x 0,50 comprenant :
- la fourniture et mise en œuvre des éléments d'agglo creux 0,20 x 0,25 x 0,50 ,
- la mise en oeuvre des chaînages avec âme métallique ,
y compris toutes sujétions.
Ce prix s'applique au mètre carré de surface  mesurée en place,</t>
  </si>
  <si>
    <t xml:space="preserve"> F20203</t>
  </si>
  <si>
    <t>Réalisation de maçonnerie en stepoc 0,15 x 0,25 x 0,50</t>
  </si>
  <si>
    <t>Fourniture et pose d'une clôture en panneaux de treillis soudé, galvanisé, plastifié de hauteur 1,03m</t>
  </si>
  <si>
    <t>Fourniture et pose d'une clôture en panneaux de treillis soudé, galvanisé, plastifié de hauteur 1,03m, comprenant :
- le terrassement quelque soit la nature du terrain pour scellement des poteaux
- les poteaux tubulaires avec capuchon, galvanisés intérieur et extérieur, de longueur 1,50m, plastifiés RAL 7026, 
- le scellement des poteaux dans massifs béton de 30x30x50cm, tous les 2,50m,
- les panneaux de 2,50m de large à mailles rectangulaires de 200x50mm, Ø du fil 5mm, 2 plis horizontaux, picots défensifs d' un seul côté, plastifiés RAL 7026,
- la pose, 
- l' évacuation des déblais à la décharge de l'Entreprise,
y compris toutes sujétions.
Ce prix s'applique au mètre linéaire posé et mesuré sur place</t>
  </si>
  <si>
    <t xml:space="preserve"> H10106</t>
  </si>
  <si>
    <t>Fourniture et pose d'une clôture en panneaux de treillis soudé, galvanisé, plastifié de hauteur 1,23m</t>
  </si>
  <si>
    <t xml:space="preserve"> E40106</t>
  </si>
  <si>
    <t>Fourniture et pose d'arroseur à jet rotatif</t>
  </si>
  <si>
    <t xml:space="preserve"> B10801</t>
  </si>
  <si>
    <t>Dépose d'un portail ou d'un portillon avec évacuation à la décharge de l'Entreprise</t>
  </si>
  <si>
    <t>Fourniture et mise en place de terreau horticole comprenant :
- la fourniture et livraison de terreau horticole sur le chantier,
- la fiche des matériaux entrant dans la constitution du terreau,
- la répartition de terreau sur les zones de plantation,
y compris les analyses de terre végétale réalisées conformément au CCTP
Ce prix s'applique au mètre cube de matériau mis en oeuvre,</t>
  </si>
  <si>
    <t xml:space="preserve"> D302</t>
  </si>
  <si>
    <t>Fourniture de compost</t>
  </si>
  <si>
    <t xml:space="preserve"> D30201</t>
  </si>
  <si>
    <t>Fourniture et mise en place de compost</t>
  </si>
  <si>
    <t>Fourniture et mise en place de compost comprenant :
- la fourniture et livraison du compost sur le chantier,
- la répartition du compost sur les zones de plantation.
Ce prix s'applique au mètre cube de matériau mis en oeuvre,</t>
  </si>
  <si>
    <t xml:space="preserve"> D303</t>
  </si>
  <si>
    <t>Fourniture d'engrais,</t>
  </si>
  <si>
    <t xml:space="preserve"> D30301</t>
  </si>
  <si>
    <t>Fourniture et mise en place d'engrais organique</t>
  </si>
  <si>
    <t>Fourniture et mise en place d'engrais organique comprenant :
Ce prix s'applique au mètre carré de surface mesurée en place,</t>
  </si>
  <si>
    <t xml:space="preserve"> D4</t>
  </si>
  <si>
    <t>Travaux aratoires</t>
  </si>
  <si>
    <t xml:space="preserve"> D401</t>
  </si>
  <si>
    <t>Décompactage de terre végétale en place</t>
  </si>
  <si>
    <t xml:space="preserve"> D40101</t>
  </si>
  <si>
    <t>Décompactage  mécanique de la terre végétale en place</t>
  </si>
  <si>
    <t>Décompactage mécanique de terre végétale en place comprenant :
- sur l'ensemble des surfaces plantées le passage du tractopelle  avec le godet sur une profondeur - 40 cm.
Ce prix s'applique au mètre carré de surface mesurée en place,</t>
  </si>
  <si>
    <t xml:space="preserve"> D402</t>
  </si>
  <si>
    <t>Régalage terre</t>
  </si>
  <si>
    <t xml:space="preserve"> D40201</t>
  </si>
  <si>
    <t>Régalage de la terre végétale sur les zones plantées</t>
  </si>
  <si>
    <t>Régalage de la terre végétale sur les zones plantées comprenant :
- le règlement grosso modo de la terre végétale sur toutes les parties à planter et à engazonner.
Ce prix s'applique au mètre carré de surface mesurée en place,</t>
  </si>
  <si>
    <t xml:space="preserve"> D403</t>
  </si>
  <si>
    <t>Mise en forme de terre végétale (manuelle et mécanique)</t>
  </si>
  <si>
    <t xml:space="preserve"> D40301</t>
  </si>
  <si>
    <t>Mise en forme mécanique de finition</t>
  </si>
  <si>
    <t>Mise en forme mécanique de finition comprenant :
- le régalage définitif des aires en terre végétale au moyen d'engin mécanique préparateur de sol, enfouisseur de pierre type Rotadairon,
- l’ameublissement, l’épierrage, l’émiettement des mottes, le hersage du sol,
y compris toutes sujétions
Ce prix s'applique au mètre carré de surface mesurée en place,</t>
  </si>
  <si>
    <t xml:space="preserve"> D40302</t>
  </si>
  <si>
    <t>Régalage manuel de finition</t>
  </si>
  <si>
    <t>Régalage manuel de finition  comprenant :
- le régalage, règlement définitif des aires en terre végétale à la griffe et au râteau,
- l’ameublissement, l’épierrage, l’émiettement des mottes, le hersage du sol et toutes sujétions.
Ce prix s'applique au mètre carré de surface mesurée en place,</t>
  </si>
  <si>
    <t xml:space="preserve"> E</t>
  </si>
  <si>
    <t>RESEAUX</t>
  </si>
  <si>
    <t xml:space="preserve"> E1</t>
  </si>
  <si>
    <t xml:space="preserve">Fourniture et pose de bordure T2 en alignement droit </t>
  </si>
  <si>
    <t>Fourniture et pose de pavé mosaïque 10x10x10 pour exécution de chaînette (granit)</t>
  </si>
  <si>
    <t>Fourniture et pose de pavé échantillon 14x20x14, pour exécution de caniveau (sur 2 rangs)</t>
  </si>
  <si>
    <t>Fourniture et pose de pavé mosaïque 10x10x10 pour exécution de caniveau (sur 2 rangs)</t>
  </si>
  <si>
    <t>Fourniture et mise en oeuvre de granulat secondaire 0/31,5, y compris PV manuelle,sur 15 cm avec cylindrage</t>
  </si>
  <si>
    <t>Reprise et mise en oeuvre de granulats concassés 0/40, produit de recyclage, en provenance du dépôt des Boëdriers,</t>
  </si>
  <si>
    <t>Exécution d'une dalle de fondation en béton maigre dosé à 150 kg/m3 avec coffrage</t>
  </si>
  <si>
    <t>Exécution de surface sablée stabilisée par procédé type  ACTIV-SOL ou équivalent avec sable type Quélaron ép. 8cm fini</t>
  </si>
  <si>
    <t>Exécution d'un dallage en béton de ciment, armé, taloché ou peigné ép. 0.10m, fibré + coffrage + tapis</t>
  </si>
  <si>
    <t>Démolition d'ouvrages superficiels de pavage, dallage pierres ou autres matériaux avec  récupération comprenant :
- la démolition soignée,
- le tri des matériaux,
- la mise sur palette (poids &lt; à 1 tonne) ,
- le chargement,
- le transport,
- le déchargement,
- le rangement au dépôt défini par le maître d'oeuvre,
y compris toutes sujétions.
Ce prix s'applique au m3 traité, mesuré en place,</t>
  </si>
  <si>
    <t xml:space="preserve"> B60102</t>
  </si>
  <si>
    <t>Démolition d' ouvrages superficiels  de pavage, dallage pierres ou autres matériaux sans récupération</t>
  </si>
  <si>
    <t>Démolition d' ouvrages superficiels  de pavage, dallage pierres ou autres matériaux sans récupération comprenant : 
- la démolition,
- le chargement,
- l' évacuation à la décharge de l'Entreprise,
y compris toutes sujétions.
Ce prix s'applique au m3 traité, mesuré en place,</t>
  </si>
  <si>
    <t xml:space="preserve"> B602</t>
  </si>
  <si>
    <t>Démolition de dalles béton</t>
  </si>
  <si>
    <t xml:space="preserve"> B60201</t>
  </si>
  <si>
    <t>Démolition de dalles béton jusqu' à 10cm d' épaisseur</t>
  </si>
  <si>
    <t>Démolition de dalles béton jusqu' à 10cm d' épaisseur comprenant :
- la démolition de la dalle,
- la découpe des ferrailles,
- le chargement des déblais
- l'évacuation à la décharge de l'Entreprise,
y compris toutes sujétions.
Ce prix s'applique au m3 traité, mesuré en place,</t>
  </si>
  <si>
    <t xml:space="preserve"> B60203</t>
  </si>
  <si>
    <t>Démolition de dalles béton d' épaisseur comprise entre 10 et 20cm</t>
  </si>
  <si>
    <t>Démolition de dalles béton d'épaisseur comprise entre 10 et 20cm, comprenant :
- la démolition de la dalle,
- la découpe des ferrailles,
- le chargement des déblais
- l'évacuation à la décharge de l'Entreprise,
y compris toutes sujétions.
Ce prix s'applique au m3 traité, mesuré en place,</t>
  </si>
  <si>
    <t xml:space="preserve"> B60204</t>
  </si>
  <si>
    <t>Découpe de dalle béton à la scie</t>
  </si>
  <si>
    <t>Découpe d'enrobé à la scie, comprenant :
- les découpes, les saignées à la scie au diamant
Ce prix s'applique au ml mesuré en place,</t>
  </si>
  <si>
    <t xml:space="preserve"> B603</t>
  </si>
  <si>
    <t>Dépose de bordures</t>
  </si>
  <si>
    <t xml:space="preserve"> B60301</t>
  </si>
  <si>
    <t>Dépose de bordures droites ou courbes avec récupération</t>
  </si>
  <si>
    <t>Dépose de bordures droites ou courbes avec récupération comprenant : 
- la dépose avec soin,
- le tri,
- le décrottage succinct,
- la mise sur palette (poids &lt; à 1 tonne) ,
- le chargement,
- le transport,
- le déchargement,
- le rangement au dépôt défini par le maître d'oeuvre,
y compris toutes sujétions.
Ce prix s'applique au ml mesuré en place,</t>
  </si>
  <si>
    <t xml:space="preserve"> B60302</t>
  </si>
  <si>
    <t>Dépose de bordures droites ou courbes sans  récupération</t>
  </si>
  <si>
    <t>Dépose de bordures droites ou courbes sans  récupération comprenant :
- la dépose,
- le chargement,
- l' évacuation à la décharge de l' Entreprise,
y compris toutes sujétions.
Ce prix s'applique au ml mesuré sur place,</t>
  </si>
  <si>
    <t xml:space="preserve"> B604</t>
  </si>
  <si>
    <t>Démolition de matériaux bitumeux</t>
  </si>
  <si>
    <t xml:space="preserve"> B60401</t>
  </si>
  <si>
    <t>Démolition de revêtement bitumineux sur trottoir</t>
  </si>
  <si>
    <t>Démolition de revêtement bitumineux sur trottoir, comprenant :
- le piochage des revêtement bitumineux,
- le chargement
- le transport soit dans les zones à remblayer, soit à la décharge de l'Entreprise,
y compris toutes sujétions.
Ce prix s'applique au m² traité, mesuré sur place,</t>
  </si>
  <si>
    <t xml:space="preserve"> B60404</t>
  </si>
  <si>
    <t>Démontage d' un arbre de diamètre &gt; à 1,00m, sans essouchement, sur espace public comprenant : 
- l'installation d' un périmètre de protection
- le démontage du tronc, des branches charpentières par tronçons de 1,00m de longueur,
- l'évacuation, des produits (des éléments du tronc, branches, feuilles, sciure...) à la décharge de l'Entreprise,
- le nettoyage du terrain,
y compris toutes sujétions.
Ce prix s'applique à l'unité comptée en place,</t>
  </si>
  <si>
    <t xml:space="preserve"> B303</t>
  </si>
  <si>
    <t>Abattage d' un arbre sans essouchement sur espaces dégagés (espaces ouverts, zones sablées…)</t>
  </si>
  <si>
    <t xml:space="preserve"> B30301</t>
  </si>
  <si>
    <t>Abattage simple d' un arbre de diamètre &lt; à 0,50m, sans essouchement sur espace dégagé</t>
  </si>
  <si>
    <t>Abattage simple d' un arbre de diamètre &lt; à 0,50m, sans essouchement, sur espace dégagé comprenant  :
- l'installation d' un périmètre de protection,
- l'abattage de l' arbre,
- le tronçonnage,
- le broyage,
- l'évacuation des produits (des éléments du tronc, branches, feuilles, sciure...) à la décharge de l'Entreprise,
- le nettoyage du terrain,
y compris toutes sujétions.
Ce prix s'applique à l'unité comptée en place,</t>
  </si>
  <si>
    <t xml:space="preserve"> B30302</t>
  </si>
  <si>
    <t>Démontage d' un arbre de diamètre &lt; à 0,50m, sans essouchement, sur espace dégagé</t>
  </si>
  <si>
    <t>Démontage d' un arbre de diamètre &lt; à 0,50m, sans essouchement, sur espace dégagé comprenant : 
- l'installation d' un périmètre de protection
- le démontage du tronc, des branches charpentières par tronçons de 1,00m de longueur,
- l'évacuation, des produits (des éléments du tronc, branches, feuilles, sciure...) à la décharge de l'Entreprise,
- le nettoyage du terrain,
y compris toutes sujétions.
Ce prix s'applique à l'unité comptée en place,</t>
  </si>
  <si>
    <t xml:space="preserve"> B30304</t>
  </si>
  <si>
    <t>Abattage simple d' un arbre de 0,50m à 1,00m de diamètre, sans essouchement, sur espace dégagé</t>
  </si>
  <si>
    <t>Abattage simple d' un arbre de à 0,50m à 1,00m de diamètre, sans essouchement, sur espace dégagé comprenant  :
- l'installation d' un périmètre de protection,
- l'abattage de l' arbre,
- le tronçonnage,
- le broyage,
- l'évacuation des produits (des éléments du tronc, branches, feuilles, sciure...) à la décharge de l'Entreprise,
- le nettoyage du terrain,
y compris toutes sujétions.
Ce prix s'applique à l'unité comptée en place,</t>
  </si>
  <si>
    <t xml:space="preserve"> B30305</t>
  </si>
  <si>
    <t>Démontage d' un arbre de 0,50m à 1,00m de diamètre, sans essouchement  sur espace dégagé</t>
  </si>
  <si>
    <t>Tuyaux en P.E.H.D. Ø 32, 10/16bars comprenant :
- la fourniture de canalisation série 10/16bars en P.E.H.D. de section 32,
- la fourniture de toutes pièces de raccord,
- la fourniture, le transport et mise en place d'un lit de pose en fond de fouille composé de sablon sur 0,10m d'épaisseur,
- la pose de canalisation avec tous les raccords nécessaires,
- la fourniture, le transport et mise en place d'un lit de pose sur la canalisation,  sur 0,10m d'épaisseur,
- la fourniture et mise en place de grillage avertisseur,
- la réalisation du remblai compacté par couche de 0,20m maximum avec dame pneumatique,
- apport de terre végétale et régalage
- nettoyage général et évacuation en décharge des déblais et matériaux excédentaires,
y compris toutes sujétions.
Ce prix s'applique au mètre linéaire mesuré en place,</t>
  </si>
  <si>
    <t xml:space="preserve"> E30202</t>
  </si>
  <si>
    <t>Fourniture et mise en œuvre de tuyaux en P.E.H.D. Ø 50, 10/16bars</t>
  </si>
  <si>
    <t>Tuyaux en P.E.H.D. Ø 50, 10/16bars comprenant :
- la fourniture de canalisation série 10/16bars en P.E.H.D. de section 50,
- la fourniture de toutes pièces de raccord,
- la fourniture, le transport et mise en place d'un lit de pose en fond de fouille composé de sablon sur 0,10m d'épaisseur,
- la pose de canalisation avec tous les raccords nécessaires,
- la fourniture, le transport et mise en place d'un lit de pose sur la canalisation,  sur 0,10m d'épaisseur,
- la fourniture et mise en place de grillage avertisseur,
- la réalisation du remblai compacté par couche de 0,20m maximum avec dame pneumatique,
- apport de terre végétale et régalage
- nettoyage général et évacuation en décharge des déblais et matériaux excédentaires,
y compris toutes sujétions.
Ce prix s'applique au mètre linéaire mesuré en place,</t>
  </si>
  <si>
    <t xml:space="preserve"> E303</t>
  </si>
  <si>
    <t>Bouches d'arrosages,</t>
  </si>
  <si>
    <t xml:space="preserve"> E30301</t>
  </si>
  <si>
    <t>Fourniture et pose d'une bouche d'arrosage incongelable</t>
  </si>
  <si>
    <t>Dépose de jeux multifonctionnels avec récupération et stockage à la Ferme des bois, rue du Professeur Maurice Audin, Rennes, comprenant :
- la dépose avec soin,
- le chargement,
- le transport à la Ferme des bois,
- le déchargement,
y compris toutes sujétions.
Ce prix s'applique au forfait réalisé,</t>
  </si>
  <si>
    <t xml:space="preserve"> B10305</t>
  </si>
  <si>
    <t>Dépose d'équipements sportifs avec récupération et stockage sur le chantier</t>
  </si>
  <si>
    <t>Dépose d' équipements sportifs avec récupération et stockage sur le chantier, comprenant :
- la dépose avec soin des équipements sportifs concernés,
- le stockage avec soin, 
- la protection des équipements stockés,
y compris toutes sujétions.
Ce prix s'applique au forfait réalisé,</t>
  </si>
  <si>
    <t xml:space="preserve"> B10306</t>
  </si>
  <si>
    <t>Dépose d' équipements sportifs avec récupération et stockage à la Ferme des bois</t>
  </si>
  <si>
    <t>Dépose d' équipements sportifs avec récupération et stockage à la Ferme des bois, rue du Professeur Maurice Audin, Rennes, comprenant :
- la dépose avec soin,
- le chargement,
- le transport à la Ferme des bois,
- le déchargement,
y compris toutes sujétions.
Ce prix s'applique au forfait réalisé,</t>
  </si>
  <si>
    <t xml:space="preserve"> B104</t>
  </si>
  <si>
    <t>Fourniture et pose de rondin Ø 200, comprenant :
- la fourniture, le transport et la pose  de rondins de bois de  Ø 200 chanfreinés, fixation à l'aide de clous à la base des éléments,
- le scellement dans massifs béton  (voir carnet de détails),
y compris toutes sujétions.
Ce prix s'applique au mètre linéaire, mesuré en place,</t>
  </si>
  <si>
    <t xml:space="preserve"> F40405</t>
  </si>
  <si>
    <t>Réalisation de clayonnage en gaule de châtaignier</t>
  </si>
  <si>
    <t>Réalisation de clayonnage en gaules de châtaignier comprenant :
- la fourniture et la pose  de clayonnage en gaules de châtaignier,
- la fourniture et la mise en oeuvre des poteaux de châtaignier  Ø 100,
- distance entre poteaux : 1,00m ,
- la fourniture et la mise en oeuvre des gaules Ø 50,
- l'assemblage par tressage,
- la mise en place de feutrine à l'arrière de la paroi,
y compris toutes sujétions.
Ce prix s'applique au mètre carré, mesuré en place,</t>
  </si>
  <si>
    <t xml:space="preserve"> G</t>
  </si>
  <si>
    <t>CIRCULATION ET TRAITEMENT DE SOLS</t>
  </si>
  <si>
    <t xml:space="preserve"> G1</t>
  </si>
  <si>
    <t>Bordures, bordurettes, chaînettes et caniveaux</t>
  </si>
  <si>
    <t xml:space="preserve"> G101</t>
  </si>
  <si>
    <t>Bordures en matériaux naturels</t>
  </si>
  <si>
    <t xml:space="preserve"> G10101</t>
  </si>
  <si>
    <t>Fourniture et pose de bordure droite 15x25 en granit grenaillé</t>
  </si>
  <si>
    <t>Fourniture et pose de bordures droites 15x25 en granit grenaillé sur les faces apparentes, gris bleuté similaire au gris bleuté de Louvigné comprenant :
- le transport,
- le règlement soigné du fond d'encaissement,
- la fondation en béton et le mortier pour joints,
- la pose de bordures suivant des alignements droits sur fondation en béton de ciment  dosé à 350kg/m3 de ciment de type CPJ CEM II 32.5 et de 0,10 m d'épaisseur et l'exécution des joints tirés au fer,
 - les coupes éventuelles.
Ce prix s'applique au mètre linéaire mesuré en place,</t>
  </si>
  <si>
    <t xml:space="preserve"> G10102</t>
  </si>
  <si>
    <t>Fourniture et pose de  bordures circulaires et de bordures droites en courbe 15x25 en granit grenaillé</t>
  </si>
  <si>
    <t>Fourniture et pose de  bordures circulaires et de bordures droites en courbe 15x25 en granit grenaillé sur les faces apparentes, gris bleuté similaire au gris bleuté de Louvigné comprenant :
- le transport,
- le règlement soigné du fond d'encaissement,
- la fondation en béton et le mortier pour joints,
- la pose en courbe de  bordures circulaires et de bordures droites sur fondation en béton de ciment  dosé à 350kg/m3 de ciment de type CPJ CEM II 32.5 et de 0,10 m d'épaisseur et l'exécution des joints tirés au fer,
- les coupes éventuelles.
Ce prix s'applique au mètre linéaire mesuré en place,</t>
  </si>
  <si>
    <t xml:space="preserve"> G10120</t>
  </si>
  <si>
    <t>Essouchement d' un arbre type moyen sujet, diamètre jusqu' à 50cm à l' aide de la pelle mécanique comprenant :
- l' installation d' un périmètre de protection,
- l'enlèvement de souche d'arbre à l'aide d'une pelle mécanique munie de dents,
- le grattage, le rabotage, et l'éclatement de la souche à l'aide de la pelle,
- le chargement et l'évacuation des éléments dans une décharge payante à la charge de l'Entreprise,
- le remblaiement immédiat de la fosse engendrée par l'arrachage de la souche,
- le nettoyage du terrain,
y compris toutes sujétions.
Ce prix s'applique à l'unité comptée en place,</t>
  </si>
  <si>
    <t xml:space="preserve"> B30404</t>
  </si>
  <si>
    <t>Essouchement d' un arbre type moyen sujet, diamètre jusqu'à 50cm, à l' aide de la rogneuse</t>
  </si>
  <si>
    <t>Essouchement d' un arbre type moyen sujet, diamètre jusqu'à 50cm, à l' aide de la rogneuse comprenant :
- l' installation d' un périmètre de protection
- le rognage de la souche au moyen de l' engin approprié en fonction du lieu d' intervention
-Le remblaiement immédiat de la fosse engendrée par le rognage de la souche (copeaux mélangés à de la terre),
- le nettoyage du terrain,
y compris toutes sujétions.
Ce prix s'applique à l'unité comptée en place,</t>
  </si>
  <si>
    <t xml:space="preserve"> B30405</t>
  </si>
  <si>
    <t>Essouchement d' un arbre type gros sujet, diamètre à partir de 50 cm, à l' aide de la pelle mécanique</t>
  </si>
  <si>
    <t>Essouchement d' un arbre type gros sujet, diamètre à partir 50cm à l' aide de la pelle mécanique comprenant :
- l' installation d' un périmètre de protection,
- l'enlèvement de la souche de l'arbre à l'aide d'une pelle mécanique munie de dents,
- le grattage, le rabotage, et l'éclatement de la souche à l'aide de la pelle,
- le chargement et l'évacuation des éléments dans une décharge payante à la charge de l'entreprise,
- le remblaiement immédiat de la fosse engendrée par l'arrachage de la souche,
- le nettoyage du terrain,
y compris toutes sujétions.
Ce prix s'applique à l'unité comptée en place,</t>
  </si>
  <si>
    <t xml:space="preserve"> B30406</t>
  </si>
  <si>
    <t>Essouchement d' un arbre type gros sujet, diamètre à partir de 50cm, à l' aide de la rogneuse</t>
  </si>
  <si>
    <t>Réalisation de maçonnerie en stepoc 0,15 x 0,25 x 0,50 comprenant :
- la fourniture et mise en œuvre des éléments stepoc 0,15 x 0,25 x 0,50 ,
- la  mise en œuvre des chaînages horizontaux et verticaux avec âme métallique,
- la confection  si nécessaire de barbacanes diam 20 mm espacées tous les 2 m ,
- le remplissage en béton des éléments de stepocs,
y compris toutes sujétions.
Ce prix s'applique au mètre carré mesuré en place ,</t>
  </si>
  <si>
    <t xml:space="preserve"> F20204</t>
  </si>
  <si>
    <t>Réalisation de maçonnerie en stepoc 0,20 x 0,25 x 0,50</t>
  </si>
  <si>
    <t>Réalisation de maçonnerie en stepoc 0,20 x 0,25 x 0,50 comprenant :
- la  mise en œuvre des chaînages horizontaux et verticaux avec âme métallique,
- la fourniture et mise en œuvre des éléments stepoc 0,15 x 0,25 x 0,50 ,
- la confection  si nécessaire de barbacanes diam 20 mm espacées tous les 2 m ,
- le remplissage en béton des éléments de stepocs y compris toutes sujétions,
y compris toutes sujétions.
Ce prix s'applique au mètre carré de surface  mesurée en place,</t>
  </si>
  <si>
    <t xml:space="preserve"> F20205</t>
  </si>
  <si>
    <t>Réalisation de maçonnerie en stepoc 0,20 x 0,30 x 0,50 pour fosse jeux</t>
  </si>
  <si>
    <t>Réalisation de maçonnerie en stepoc 0,20 x 0,30 x 0,50 comprenant :
- la  mise en œuvre des chaînages horizontaux et verticaux avec âme métallique,
- la fourniture et mise en œuvre des éléments stepoc 0,15 x 0,30 x 0,50 ,
- la confection  si nécessaire de barbacanes diam 20 mm espacées tous les 2 m ,
- le remplissage en béton des éléments de stepocs y compris toutes sujétions,
y compris toutes sujétions.
Ce prix s'applique au mètre carré de surface  mesurée en place,</t>
  </si>
  <si>
    <t xml:space="preserve"> F203</t>
  </si>
  <si>
    <t>Maçonnerie Béton ( mur et muret )</t>
  </si>
  <si>
    <t xml:space="preserve"> F20301</t>
  </si>
  <si>
    <t>Réalisation de maçonnerie en béton pour muret</t>
  </si>
  <si>
    <t>Décapage, stockage de terre végétale hors ZAC, avec transport, sur une distance &lt; à 1km comprenant :
- le décapage sur une profondeur de 30cm environ,
- le chargement,
- le transport,
- le stockage sur zone définie par le maître d'oeuvre.
Ce prix s'applique au m3 mesuré en place,</t>
  </si>
  <si>
    <t xml:space="preserve"> B50202</t>
  </si>
  <si>
    <t>Nettoyage d' un arbre type gros sujet comprenant:
- l'installation d' un périmètre de protection,
- l'ascension dans l'arbre,
- la coupe éventuelle des plants de lierre,
- la suppression des branches mortes, cassées ou fêlées, des chicots pour la sécurité,
- le dédoublage des charpentières en surnombre,
- l'application de baume cicatrisant sur les coupes,
- l'évacuation du bois mort,
- l'évacuation des produits de coupe à la décharge de l'Entreprise,
- les travaux devront respecter la végétation existante,
- la remise en état du lieu après l' intervention,
y compris toutes sujétions.
Ce prix s'applique à l'unité comptée en place,</t>
  </si>
  <si>
    <t xml:space="preserve"> B302</t>
  </si>
  <si>
    <t>Abattage d' un arbre sans essouchement
sur espaces publics (places, parking, trottoirs…)</t>
  </si>
  <si>
    <t xml:space="preserve"> B30201</t>
  </si>
  <si>
    <t>Abattage simple d' un arbre de diamètre &lt; à 0,50m, sans essouchement, sur espace public</t>
  </si>
  <si>
    <t>Abattage simple d' un arbre de diamètre &lt; à 0,50m, sans essouchement, sur espace public comprenant  :
- l'installation d' un périmètre de protection,
- l'abattage de l' arbre,
- le tronçonnage,
- le broyage,
- l'évacuation des produits (des éléments du tronc, branches, feuilles, sciure...) à la décharge de l'Entreprise,
- le nettoyage du terrain,
y compris toutes sujétions.
Ce prix s'applique à l'unité comptée en place,</t>
  </si>
  <si>
    <t xml:space="preserve"> B30202</t>
  </si>
  <si>
    <t>Démontage d' un arbre de diamètre &lt; à 0,50m, sans essouchement, sur espace public</t>
  </si>
  <si>
    <t>Démontage d' un arbre de diamètre &lt; à 0,50m, sans essouchement, sur espace public comprenant : 
- l'installation d' un périmètre de protection
- le démontage du tronc, des branches charpentières par tronçon de 1,00m de longueur,
- l'évacuation, des produits (des éléments du tronc, branches, feuilles, sciure...) à la décharge de l'Entreprise,
- le nettoyage du terrain,
y compris toutes sujétions.
Ce prix s'applique à l'unité comptée en place,</t>
  </si>
  <si>
    <t xml:space="preserve"> B30203</t>
  </si>
  <si>
    <t>Abattage simple d' un arbre de 0,50m à 1,00m de diamètre, sans essouchement, sur espace public</t>
  </si>
  <si>
    <t>Fourniture et pose de tuyaux PVC Ø 160 comprenant :
- la fourniture de canalisation en PVC 160 avec bague d'étanchéité en élastomère,
- la fourniture, le transport et mise en place d'un lit de pose en fond de fouille composé de sablon sur 0,10m d'épaisseur,
- la pose des canalisations sur lit de sable,
 -le nettoyage intérieur des bavures,
- les  raccordements sur regard,
- la fourniture, le transport et mise en place d'un lit de pose sur la canalisation,  sur 0,10m d'épaisseur,
- la fourniture et mise en place de grillage avertisseur,
- la réalisation du remblai compacté par couche de 0,20maximum avec dame pneumatique,
- apport de terre végétale et régalage
- nettoyage général et évacuation en décharge des déblais et matériaux excédentaires,
y compris toutes sujétions.
Ce prix s'applique au mètre linéaire mesuré en place,</t>
  </si>
  <si>
    <t xml:space="preserve"> E20303</t>
  </si>
  <si>
    <t>Fourniture et pose de tuyaux PVC Ø 200</t>
  </si>
  <si>
    <t>Fourniture et pose de tuyaux PVC Ø 200 comprenant :
- la fourniture de canalisation en PVC Ø 200 avec bague d'étanchéité en élastomère,
- la fourniture, le transport et mise en place d'un lit de pose en fond de fouille composé de sablon sur 0,10m d'épaisseur,
- la pose des canalisations sur lit de sable,
- le nettoyage intérieur des bavures,
- les  raccordements sur regard,
- la fourniture, le transport et mise en place d'un lit de pose sur la canalisation,  sur 0,10m d'épaisseur,
- la fourniture et mise en place de grillage avertisseur,
- la réalisation du remblai compacté par couche de 0,20m maximum avec dame pneumatique,
- apport de terre végétale et régalage
- nettoyage général et évacuation en décharge des déblais et matériaux excédentaires,
y compris toutes sujétions.
Ce prix s'applique au mètre linéaire mesuré en place,</t>
  </si>
  <si>
    <t xml:space="preserve"> E20304</t>
  </si>
  <si>
    <t>Fourniture et pose de tuyaux PVC Ø 300</t>
  </si>
  <si>
    <t>Fourniture et pose de tuyaux PVC Ø 300 comprenant :
- la fourniture de canalisation en polyéthylène à double parois (intérieur lisse et extérieur annelé)  Ø 300 avec bague d'étanchéité,
- la fourniture, le transport et mise en place d'un lit de pose en fond de fouille composé de sablon sur 0,10m d'épaisseur,
- la pose des canalisations sur lit de sable,
- le nettoyage intérieur des bavures,
- les  raccordements sur regard,
- la fourniture, le transport et mise en place d'un lit de pose sur la canalisation,  sur 0,10m d'épaisseur,
- la fourniture et mise en place de grillage avertisseur,
- la réalisation du remblai compacté par couche de 0,20m maximum avec dame pneumatique,
- apport de terre végétale et régalage
- nettoyage général et évacuation en décharge des déblais et matériaux excédentaires,
y compris toutes sujétions.
Ce prix s'applique au mètre linéaire mesuré en place,</t>
  </si>
  <si>
    <t xml:space="preserve"> E20305</t>
  </si>
  <si>
    <t>Fourniture et pose de drain Ø 65</t>
  </si>
  <si>
    <t>Fourniture et pose de drain Ø 65 comprenant :
- La fourniture et la pose des drains,
- La fourniture et la pose de tous les accessoires de raccordement (manchons, tés, coudes réductions, embouts),
y compris  toutes sujétions.
Ce prix s'applique au mètre linéaire mesuré en place,</t>
  </si>
  <si>
    <t xml:space="preserve"> E20306</t>
  </si>
  <si>
    <t>Fourniture et pose de drain Ø100</t>
  </si>
  <si>
    <t>Fourniture et pose de drain Ø 100 comprenant :
- La fourniture et la pose des drains,
- La fourniture et la pose de tous les accessoires de raccordement (manchons, tés, coudes réductions, embouts),
y compris  toutes sujétions.
Ce prix s'applique au mètre linéaire mesuré en place,</t>
  </si>
  <si>
    <t xml:space="preserve"> E204</t>
  </si>
  <si>
    <t>Regards, regard grilles, caniveaux grilles,</t>
  </si>
  <si>
    <t xml:space="preserve"> E20401</t>
  </si>
  <si>
    <t>Fourniture et pose d'un regard avec tampon 40 x 40</t>
  </si>
  <si>
    <t>Préparation d'un arbre avant travaux, comprenant :
- la réduction de couronne en vue de faciliter le passage d'engins durant la durée des travaux tout en conservant sa forme initiale. Le volume supprimé ne devra pas excéder 50 % du volume initial du houppier.
- la taille des bois morts, des chicots et des charpentières en mauvais état,
- le débit des branches,
- l'évacuation des produits (branches, feuilles…) à la décharge de l'entreprise.
y compris toutes sujétions.
Ce prix s'applique à l'unité comptée en place,</t>
  </si>
  <si>
    <t xml:space="preserve"> A6</t>
  </si>
  <si>
    <t>Installation et repliement de chantier</t>
  </si>
  <si>
    <t xml:space="preserve"> A60001</t>
  </si>
  <si>
    <t>Installation, base vie et repliement de chantier</t>
  </si>
  <si>
    <t>Installation, base vie et repliement de chantier, comprenant :
- la fourniture et la mise en place de protections et de signalisations temporaires
- la fourniture et la mise en place de la base vie constituée de clôtures type Héras (h=2,00m) ou équivalent, d'un bureau de chantier, de sanitaires, vestiaires y compris branchements et consommations, et tout élément défini par le coordonnateur SPS,
- leur entretien pendant tout la durée du chantier, puis leur dépose et la remise en état du site.
y compris toutes sujétions.
Ce prix s'applique au forfait réalisé,</t>
  </si>
  <si>
    <t xml:space="preserve"> B</t>
  </si>
  <si>
    <t>TRAVAUX PREPARATOIRES</t>
  </si>
  <si>
    <t xml:space="preserve"> B1</t>
  </si>
  <si>
    <t>Dépose d' équipements 
(mobiliers, jeux, équipements sportifs, clôtures, portails, portillons, signalisation, signalétique, ,…)</t>
  </si>
  <si>
    <t xml:space="preserve"> B101</t>
  </si>
  <si>
    <t>Dépose de mobiliers avec récupération</t>
  </si>
  <si>
    <t xml:space="preserve"> B10101</t>
  </si>
  <si>
    <t>Dépose de mobiliers avec récupération et stockage sur le chantier</t>
  </si>
  <si>
    <t>Dépose de mobiliers avec récupération et stockage sur le chantier, comprenant :
- la dépose avec soin,
- le stockage avec soin, 
- la protection des équipements stockés,
y compris toutes sujétions.
Ce prix s'applique au forfait réalisé,</t>
  </si>
  <si>
    <t xml:space="preserve"> B10102</t>
  </si>
  <si>
    <t>Dépose de mobiliers avec récupération et stockage à la Ferme des bois</t>
  </si>
  <si>
    <t>Réalisation d'une fouille comprenant :
- le décaissement à la pelle mécanique jusqu'à une profondeur maximum de 2m (blindage éventuel),
- la protection contre les eaux de toutes natures pendant l'exécution de la tranchée,
- les difficultés causées par les canalisations rencontrées,
- la mise en andain des déblais,
- le chargement et évacuation en décharge des déblais impropres,
- la mise en place de la signalisation pour la sécurité du chantier,
- la réalisation du remblai compacté par couche de 0,20maximum avec dame pneumatique,
- nettoyage général et évacuation en décharge des déblais et matériaux excédentaires,
y compris toutes sujétions,
Ce prix s'applique au mètre cube de matériaux mesuré en place,</t>
  </si>
  <si>
    <t xml:space="preserve"> C203</t>
  </si>
  <si>
    <t>Fosses de plantations</t>
  </si>
  <si>
    <t xml:space="preserve"> C20301</t>
  </si>
  <si>
    <t>Réalisation d'une fosse de plantation pour arbuste sur 0,60m</t>
  </si>
  <si>
    <t>Réalisation d'une fosse de plantation pour arbuste sur 0,60m comprenant :
- le piquetage et l'implantation des fosses,
- le décaissement à une profondeur de -60cm,
- évacuation des déblais à la décharge de l'entreprise,
- décompactage du fond de la fosse et griffage des parois,
- la protection des réseaux rencontrés,
y compris toutes sujétions.
Ce prix s'applique au mètre cube mesuré en place,</t>
  </si>
  <si>
    <t xml:space="preserve"> C20302</t>
  </si>
  <si>
    <t>Réalisation d'une fosse de plantation pour arbre 
- de 2m3 sur espace vert
- de 8m3 sur surface minérale
- de 24m3 sur voirie avec mélange terre pierre</t>
  </si>
  <si>
    <t>Fourniture et plantation de plantes vivaces, graminées, fougères, plantes aquatiques, Conteneur de 2 litres</t>
  </si>
  <si>
    <t>Fourniture et plantation de bambous forte végétation , Conteneur 15L, 100/150</t>
  </si>
  <si>
    <t>Fourniture et plantation de bambous forte végétation , Conteneur 30L, 250/300</t>
  </si>
  <si>
    <t>Fourniture et plantation de bulbe commun (crocus 9/10, allium, anémone, narcisse12/14)</t>
  </si>
  <si>
    <t>Fourniture et plantation de Bulbe d'intérêt remarquable (agapanthe, scille 7/8, fritillaire et variétés peu communes)</t>
  </si>
  <si>
    <t>Essouchement d' un arbre type moyen sujet, diamètre jusqu'à 1m, à l' aide de la rogneuse sur pelouse</t>
  </si>
  <si>
    <t>Essouchement d' un arbre type  moyen sujet, diamètre jusqu'à1m, à l' aide de la rogneuse sur voirie</t>
  </si>
  <si>
    <t xml:space="preserve"> C10303</t>
  </si>
  <si>
    <t xml:space="preserve">Mise en décharge de traverses de chemin de fer
</t>
  </si>
  <si>
    <t>Fourniture et pose de dalles souples pour jeux unifonctionnels jeu à ressort simple ép</t>
  </si>
  <si>
    <t>Fourniture et pose de dalles souples pour jeux multifonctionnels ép</t>
  </si>
  <si>
    <t>Fourniture et pose d'une clôture en panneaux de treillis soudé, galvanisé, plastifié de hauteur 1,0m</t>
  </si>
  <si>
    <t>Fourniture et pose d'une clôture panneaux croisillon en pin traité classe 4 pour Espachien</t>
  </si>
  <si>
    <t>Création de noues par intervention manuelle comprenant :
- la façon de la noue manuellement,
- le raccordement avec le terrain naturel,
- l'apport de terre végétale et sa mise en forme,
- l’ameublissement, l’épierrage, l’émiettement des mottes,
Ce prix s'applique au mètre cube mesuré en place,</t>
  </si>
  <si>
    <t xml:space="preserve"> C504</t>
  </si>
  <si>
    <t>Reprofilage talus</t>
  </si>
  <si>
    <t xml:space="preserve"> C50401</t>
  </si>
  <si>
    <t>Reprofilage de talus par intervention mécanique</t>
  </si>
  <si>
    <t>Reprofilage de talus par intervention mécanique comprenant :
- la reprise de terre végétale,
- la façon de talus avec engin mécanique,
- le raccordement avec le terrain naturel,
- l'apport de terre végétale et sa mise en forme,
- l’ameublissement, l’épierrage, l’émiettement des mottes,
Ce prix s'applique au mètre carré de surface mesurée en place,</t>
  </si>
  <si>
    <t xml:space="preserve"> C50402</t>
  </si>
  <si>
    <t>Reprofilage de talus par intervention manuelle</t>
  </si>
  <si>
    <t>Regards, regard grilles, caniveaux grilles,(avec verouillage)</t>
  </si>
  <si>
    <t>Fourniture et pose d'un caniveau grille en fonte, largeur 200, non routier, L=1m</t>
  </si>
  <si>
    <t>Mise à niveau de regard 40x40 (avec réhausse)</t>
  </si>
  <si>
    <t>Fourniture et pose de chaînette de pavé béton 10x10 ou 12x12, comprenant :
- le règlement soigné de l'encaissement,
- la fourniture à pied d'œuvre de tous agrégats et du liant. le mortier sera de type : ciment CPJ CEM II 32,5,
- la confection de la fondation de béton de 0,10 m d'épaisseur,
- la pose des pavés,
- le garnissage des joints au mortier de ciment,
- le nettoyage des pavés,
 y compris toutes sujétions.
Ce prix s'applique au mètre linéaire mesuré en place,</t>
  </si>
  <si>
    <t xml:space="preserve"> G106</t>
  </si>
  <si>
    <t>Caniveaux en matériaux naturels</t>
  </si>
  <si>
    <t xml:space="preserve"> G10601</t>
  </si>
  <si>
    <t>Fourniture et pose de pavé échantillon 14x20x14, pour exécution de caniveau</t>
  </si>
  <si>
    <t>Fourniture et pose de pavé échantillon 14x20x14 pour exécution de caniveau, face supérieure grenaillée, comprenant :
- le règlement soigné de l'encaissement,
- la fourniture à pied d'œuvre de tous agrégats et du liant, le mortier sera de type : ciment CPJ CEM II 32,5,
- la confection de la fondation de béton de 0,10 m d'épaisseur,
- la pose des pavés,
- le mélange des pavés et des boutisses,
- le garnissage des joints au mortier de ciment,
- le nettoyage des pavés,
 y compris toutes sujétions.
Ce prix s'applique au mètre carré de surface mesurée en place,</t>
  </si>
  <si>
    <t xml:space="preserve"> G10602</t>
  </si>
  <si>
    <t>Fourniture et pose de pavé mosaïque 10x10x10 pour exécution de caniveau</t>
  </si>
  <si>
    <t>Fourniture et pose de pavé mosaïque 10x10x10 pour exécution de caniveau face supérieure grenaillée, comprenant :
- le règlement soigné de l'encaissement,
- la fourniture à pied d'œuvre de tous agrégats et du liant. le mortier sera de type : ciment CPJ CEM II 32,5,
- la confection de la fondation de béton de 0,10 m d'épaisseur,
- la pose des pavés,
- le garnissage des joints au mortier de ciment,
- le nettoyage des pavés,
 y compris toutes sujétions.
Ce prix s'applique au mètre carré de surface mesurée en place,</t>
  </si>
  <si>
    <t xml:space="preserve"> G10603</t>
  </si>
  <si>
    <t>Repose de pavé de réemploi pour exécution de caniveau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</si>
</sst>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0.0"/>
  </numFmts>
  <fonts count="12" x14ac:knownFonts="1">
    <font>
      <sz val="10"/>
      <name val="Arial"/>
    </font>
    <font>
      <sz val="10"/>
      <name val="Arial"/>
    </font>
    <font>
      <sz val="8"/>
      <name val="Arial"/>
    </font>
    <font>
      <b/>
      <sz val="10"/>
      <name val="Arial"/>
      <family val="2"/>
    </font>
    <font>
      <b/>
      <sz val="10"/>
      <color indexed="10"/>
      <name val="Arial"/>
      <family val="2"/>
    </font>
    <font>
      <sz val="10"/>
      <color indexed="10"/>
      <name val="Arial"/>
    </font>
    <font>
      <sz val="10"/>
      <color indexed="57"/>
      <name val="Arial"/>
    </font>
    <font>
      <sz val="10"/>
      <color indexed="48"/>
      <name val="Arial"/>
    </font>
    <font>
      <sz val="10"/>
      <name val="Arial"/>
      <family val="2"/>
    </font>
    <font>
      <sz val="8"/>
      <color indexed="81"/>
      <name val="Tahoma"/>
    </font>
    <font>
      <b/>
      <sz val="8"/>
      <color indexed="81"/>
      <name val="Tahoma"/>
    </font>
    <font>
      <b/>
      <sz val="10"/>
      <name val="Arial"/>
    </font>
  </fonts>
  <fills count="2">
    <fill>
      <patternFill patternType="none"/>
    </fill>
    <fill>
      <patternFill patternType="gray125"/>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s>
  <cellStyleXfs count="1">
    <xf numFmtId="0" fontId="0" fillId="0" borderId="0"/>
  </cellStyleXfs>
  <cellXfs count="67">
    <xf numFmtId="0" fontId="0" fillId="0" borderId="0" xfId="0"/>
    <xf numFmtId="0" fontId="0" fillId="0" borderId="0" xfId="0" applyAlignment="1">
      <alignment vertical="top" wrapText="1"/>
    </xf>
    <xf numFmtId="0" fontId="0" fillId="0" borderId="0" xfId="0" applyNumberFormat="1" applyAlignment="1">
      <alignment vertical="top" wrapText="1"/>
    </xf>
    <xf numFmtId="0" fontId="0" fillId="0" borderId="0" xfId="0" applyAlignment="1">
      <alignment vertical="center" wrapText="1"/>
    </xf>
    <xf numFmtId="0" fontId="0" fillId="0" borderId="0" xfId="0" applyFill="1" applyAlignment="1">
      <alignment vertical="top"/>
    </xf>
    <xf numFmtId="0" fontId="0" fillId="0" borderId="0" xfId="0" applyFill="1"/>
    <xf numFmtId="0" fontId="0" fillId="0" borderId="0" xfId="0" applyFill="1" applyAlignment="1">
      <alignment horizontal="center"/>
    </xf>
    <xf numFmtId="0" fontId="7" fillId="0" borderId="0" xfId="0" applyFont="1" applyFill="1" applyAlignment="1">
      <alignment horizontal="center"/>
    </xf>
    <xf numFmtId="166" fontId="0" fillId="0" borderId="0" xfId="0" applyNumberFormat="1" applyFill="1" applyAlignment="1">
      <alignment horizontal="center"/>
    </xf>
    <xf numFmtId="4" fontId="6" fillId="0" borderId="0" xfId="0" applyNumberFormat="1" applyFont="1" applyFill="1" applyAlignment="1">
      <alignment horizontal="center"/>
    </xf>
    <xf numFmtId="166" fontId="5" fillId="0" borderId="0" xfId="0" applyNumberFormat="1" applyFont="1" applyFill="1" applyAlignment="1">
      <alignment horizontal="center"/>
    </xf>
    <xf numFmtId="0" fontId="0" fillId="0" borderId="1" xfId="0" applyFill="1" applyBorder="1" applyAlignment="1">
      <alignment horizontal="center"/>
    </xf>
    <xf numFmtId="166" fontId="0" fillId="0" borderId="0" xfId="0" applyNumberFormat="1" applyFill="1" applyBorder="1" applyAlignment="1">
      <alignment horizontal="center"/>
    </xf>
    <xf numFmtId="4" fontId="0" fillId="0" borderId="2" xfId="0" applyNumberFormat="1" applyFill="1" applyBorder="1" applyAlignment="1">
      <alignment horizontal="center"/>
    </xf>
    <xf numFmtId="4" fontId="6" fillId="0" borderId="2" xfId="0" applyNumberFormat="1" applyFont="1" applyFill="1" applyBorder="1" applyAlignment="1">
      <alignment horizontal="center"/>
    </xf>
    <xf numFmtId="0" fontId="7" fillId="0" borderId="1" xfId="0" applyFont="1" applyFill="1" applyBorder="1" applyAlignment="1">
      <alignment horizontal="center"/>
    </xf>
    <xf numFmtId="4" fontId="0" fillId="0" borderId="0" xfId="0" applyNumberFormat="1" applyFill="1" applyBorder="1" applyAlignment="1">
      <alignment horizontal="center"/>
    </xf>
    <xf numFmtId="0" fontId="0" fillId="0" borderId="1" xfId="0" applyBorder="1"/>
    <xf numFmtId="0" fontId="0" fillId="0" borderId="0" xfId="0" applyBorder="1"/>
    <xf numFmtId="0" fontId="0" fillId="0" borderId="2" xfId="0" applyBorder="1"/>
    <xf numFmtId="0" fontId="0" fillId="0" borderId="1" xfId="0" applyFill="1" applyBorder="1"/>
    <xf numFmtId="166" fontId="0" fillId="0" borderId="0" xfId="0" applyNumberFormat="1" applyFill="1" applyBorder="1"/>
    <xf numFmtId="4" fontId="0" fillId="0" borderId="2" xfId="0" applyNumberFormat="1" applyFill="1" applyBorder="1"/>
    <xf numFmtId="0" fontId="0" fillId="0" borderId="1" xfId="0" applyBorder="1" applyAlignment="1">
      <alignment horizontal="center"/>
    </xf>
    <xf numFmtId="0" fontId="0" fillId="0" borderId="0" xfId="0" applyBorder="1" applyAlignment="1">
      <alignment horizontal="center"/>
    </xf>
    <xf numFmtId="0" fontId="7" fillId="0" borderId="3" xfId="0" applyFont="1" applyFill="1" applyBorder="1" applyAlignment="1">
      <alignment horizontal="center"/>
    </xf>
    <xf numFmtId="166" fontId="0" fillId="0" borderId="4" xfId="0" applyNumberFormat="1" applyFill="1" applyBorder="1" applyAlignment="1">
      <alignment horizontal="center"/>
    </xf>
    <xf numFmtId="4" fontId="6" fillId="0" borderId="5" xfId="0" applyNumberFormat="1" applyFont="1" applyFill="1" applyBorder="1" applyAlignment="1">
      <alignment horizontal="center"/>
    </xf>
    <xf numFmtId="166" fontId="5" fillId="0" borderId="1" xfId="0" applyNumberFormat="1" applyFont="1" applyFill="1" applyBorder="1" applyAlignment="1">
      <alignment horizontal="center"/>
    </xf>
    <xf numFmtId="166" fontId="0" fillId="0" borderId="2" xfId="0" applyNumberFormat="1" applyFill="1" applyBorder="1" applyAlignment="1">
      <alignment horizontal="center"/>
    </xf>
    <xf numFmtId="0" fontId="5" fillId="0" borderId="1" xfId="0" applyFont="1" applyBorder="1"/>
    <xf numFmtId="166" fontId="5" fillId="0" borderId="1" xfId="0" applyNumberFormat="1" applyFont="1" applyFill="1" applyBorder="1"/>
    <xf numFmtId="166" fontId="0" fillId="0" borderId="2" xfId="0" applyNumberFormat="1" applyFill="1" applyBorder="1"/>
    <xf numFmtId="166" fontId="5" fillId="0" borderId="3" xfId="0" applyNumberFormat="1" applyFont="1" applyFill="1" applyBorder="1" applyAlignment="1">
      <alignment horizontal="center"/>
    </xf>
    <xf numFmtId="166" fontId="0" fillId="0" borderId="5" xfId="0" applyNumberFormat="1" applyFill="1" applyBorder="1" applyAlignment="1">
      <alignment horizontal="center"/>
    </xf>
    <xf numFmtId="0" fontId="3" fillId="0" borderId="1" xfId="0" applyFont="1" applyFill="1" applyBorder="1" applyAlignment="1">
      <alignment vertical="top"/>
    </xf>
    <xf numFmtId="0" fontId="3" fillId="0" borderId="0" xfId="0" applyFont="1" applyFill="1" applyBorder="1" applyAlignment="1">
      <alignment vertical="top" wrapText="1"/>
    </xf>
    <xf numFmtId="0" fontId="0" fillId="0" borderId="0" xfId="0" applyFill="1" applyBorder="1" applyAlignment="1">
      <alignment horizontal="center"/>
    </xf>
    <xf numFmtId="0" fontId="0" fillId="0" borderId="2" xfId="0" applyFill="1" applyBorder="1" applyAlignment="1">
      <alignment horizontal="center"/>
    </xf>
    <xf numFmtId="0" fontId="3" fillId="0" borderId="1" xfId="0" applyFont="1" applyFill="1" applyBorder="1" applyAlignment="1">
      <alignment horizontal="left" vertical="top" indent="1"/>
    </xf>
    <xf numFmtId="0" fontId="0" fillId="0" borderId="1" xfId="0" applyFill="1" applyBorder="1" applyAlignment="1">
      <alignment horizontal="right" vertical="top"/>
    </xf>
    <xf numFmtId="0" fontId="3" fillId="0" borderId="1" xfId="0" applyFont="1" applyFill="1" applyBorder="1" applyAlignment="1">
      <alignment horizontal="left" vertical="top" indent="2"/>
    </xf>
    <xf numFmtId="0" fontId="0" fillId="0" borderId="1" xfId="0" applyFill="1" applyBorder="1" applyAlignment="1">
      <alignment horizontal="right"/>
    </xf>
    <xf numFmtId="0" fontId="0" fillId="0" borderId="1" xfId="0" applyBorder="1" applyAlignment="1">
      <alignment vertical="top"/>
    </xf>
    <xf numFmtId="0" fontId="0" fillId="0" borderId="0" xfId="0" applyFill="1" applyBorder="1"/>
    <xf numFmtId="0" fontId="0" fillId="0" borderId="2" xfId="0" applyFill="1" applyBorder="1"/>
    <xf numFmtId="0" fontId="0" fillId="0" borderId="3" xfId="0" applyFill="1" applyBorder="1" applyAlignment="1">
      <alignment horizontal="right"/>
    </xf>
    <xf numFmtId="0" fontId="0" fillId="0" borderId="4" xfId="0" applyFill="1" applyBorder="1" applyAlignment="1">
      <alignment horizontal="center"/>
    </xf>
    <xf numFmtId="0" fontId="0" fillId="0" borderId="5" xfId="0" applyFill="1" applyBorder="1" applyAlignment="1">
      <alignment horizontal="center"/>
    </xf>
    <xf numFmtId="0" fontId="0" fillId="0" borderId="6" xfId="0" applyFill="1" applyBorder="1" applyAlignment="1">
      <alignment vertical="top" wrapText="1"/>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7" fillId="0" borderId="6" xfId="0" applyFont="1" applyFill="1" applyBorder="1" applyAlignment="1">
      <alignment horizontal="center" vertical="center" wrapText="1"/>
    </xf>
    <xf numFmtId="166" fontId="0" fillId="0" borderId="7" xfId="0" applyNumberFormat="1" applyFill="1" applyBorder="1" applyAlignment="1">
      <alignment horizontal="center" vertical="center" wrapText="1"/>
    </xf>
    <xf numFmtId="4" fontId="6" fillId="0" borderId="8" xfId="0" applyNumberFormat="1" applyFont="1" applyFill="1" applyBorder="1" applyAlignment="1">
      <alignment horizontal="center" vertical="center" wrapText="1"/>
    </xf>
    <xf numFmtId="166" fontId="5" fillId="0" borderId="6" xfId="0" applyNumberFormat="1" applyFont="1" applyFill="1" applyBorder="1" applyAlignment="1">
      <alignment horizontal="center" vertical="center" wrapText="1"/>
    </xf>
    <xf numFmtId="166" fontId="0" fillId="0" borderId="8" xfId="0" applyNumberFormat="1" applyFill="1" applyBorder="1" applyAlignment="1">
      <alignment horizontal="center" vertical="center" wrapText="1"/>
    </xf>
    <xf numFmtId="0" fontId="3" fillId="0" borderId="9" xfId="0" applyFont="1" applyFill="1" applyBorder="1" applyAlignment="1">
      <alignment vertical="top" wrapText="1"/>
    </xf>
    <xf numFmtId="0" fontId="0" fillId="0" borderId="9" xfId="0" applyFill="1" applyBorder="1" applyAlignment="1">
      <alignment vertical="top" wrapText="1"/>
    </xf>
    <xf numFmtId="0" fontId="0" fillId="0" borderId="9" xfId="0" applyBorder="1" applyAlignment="1">
      <alignment vertical="top" wrapText="1"/>
    </xf>
    <xf numFmtId="0" fontId="3" fillId="0" borderId="9" xfId="0" applyFont="1" applyBorder="1" applyAlignment="1">
      <alignment vertical="top" wrapText="1"/>
    </xf>
    <xf numFmtId="0" fontId="8" fillId="0" borderId="1" xfId="0" applyFont="1" applyFill="1" applyBorder="1" applyAlignment="1">
      <alignment horizontal="right" vertical="top"/>
    </xf>
    <xf numFmtId="0" fontId="1" fillId="0" borderId="10" xfId="0" applyFont="1" applyFill="1" applyBorder="1" applyAlignment="1">
      <alignment vertical="center" wrapText="1"/>
    </xf>
    <xf numFmtId="0" fontId="1" fillId="0" borderId="9" xfId="0" applyFont="1" applyFill="1" applyBorder="1" applyAlignment="1">
      <alignment vertical="top" wrapText="1"/>
    </xf>
    <xf numFmtId="0" fontId="1" fillId="0" borderId="9" xfId="0" applyFont="1" applyFill="1" applyBorder="1" applyAlignment="1">
      <alignment vertical="top"/>
    </xf>
    <xf numFmtId="0" fontId="1" fillId="0" borderId="11" xfId="0" applyFont="1" applyFill="1" applyBorder="1" applyAlignment="1">
      <alignment vertical="top" wrapText="1"/>
    </xf>
    <xf numFmtId="0" fontId="1" fillId="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82"/>
  <sheetViews>
    <sheetView topLeftCell="B1" workbookViewId="0">
      <selection sqref="A1:IV65536"/>
    </sheetView>
  </sheetViews>
  <sheetFormatPr baseColWidth="10" defaultRowHeight="12.75" x14ac:dyDescent="0.2"/>
  <cols>
    <col min="1" max="1" width="0" hidden="1" customWidth="1"/>
    <col min="2" max="2" width="10" customWidth="1"/>
    <col min="3" max="3" width="0" hidden="1" customWidth="1"/>
    <col min="4" max="4" width="31.28515625" style="1" customWidth="1"/>
    <col min="8" max="8" width="98.140625" style="1" customWidth="1"/>
  </cols>
  <sheetData>
    <row r="1" spans="1:8" x14ac:dyDescent="0.2">
      <c r="A1" t="s">
        <v>2176</v>
      </c>
      <c r="B1" t="s">
        <v>2177</v>
      </c>
      <c r="C1" t="s">
        <v>2178</v>
      </c>
      <c r="D1" s="1" t="s">
        <v>2179</v>
      </c>
      <c r="E1" t="s">
        <v>2180</v>
      </c>
      <c r="F1" t="s">
        <v>2181</v>
      </c>
      <c r="G1" t="s">
        <v>2182</v>
      </c>
      <c r="H1" s="1" t="s">
        <v>2183</v>
      </c>
    </row>
    <row r="2" spans="1:8" x14ac:dyDescent="0.2">
      <c r="A2" t="s">
        <v>2184</v>
      </c>
      <c r="B2" t="s">
        <v>2185</v>
      </c>
      <c r="C2">
        <v>2</v>
      </c>
      <c r="D2" s="1" t="s">
        <v>2186</v>
      </c>
      <c r="E2" t="s">
        <v>2187</v>
      </c>
      <c r="F2">
        <v>0</v>
      </c>
      <c r="G2">
        <v>0</v>
      </c>
    </row>
    <row r="3" spans="1:8" x14ac:dyDescent="0.2">
      <c r="A3" t="s">
        <v>2184</v>
      </c>
      <c r="B3" t="s">
        <v>2188</v>
      </c>
      <c r="C3">
        <v>2</v>
      </c>
      <c r="D3" s="1" t="s">
        <v>2189</v>
      </c>
      <c r="E3" t="s">
        <v>2187</v>
      </c>
      <c r="F3">
        <v>0</v>
      </c>
      <c r="G3">
        <v>0</v>
      </c>
    </row>
    <row r="4" spans="1:8" ht="76.5" x14ac:dyDescent="0.2">
      <c r="A4" t="s">
        <v>2184</v>
      </c>
      <c r="B4" t="s">
        <v>2190</v>
      </c>
      <c r="C4">
        <v>1</v>
      </c>
      <c r="D4" s="1" t="s">
        <v>2191</v>
      </c>
      <c r="E4" t="s">
        <v>2192</v>
      </c>
      <c r="F4">
        <v>1</v>
      </c>
      <c r="G4">
        <v>300</v>
      </c>
      <c r="H4" s="2" t="s">
        <v>2103</v>
      </c>
    </row>
    <row r="5" spans="1:8" x14ac:dyDescent="0.2">
      <c r="A5" t="s">
        <v>2184</v>
      </c>
      <c r="B5" t="s">
        <v>2104</v>
      </c>
      <c r="C5">
        <v>2</v>
      </c>
      <c r="D5" s="1" t="s">
        <v>2105</v>
      </c>
      <c r="E5" t="s">
        <v>2187</v>
      </c>
      <c r="F5">
        <v>0</v>
      </c>
      <c r="G5">
        <v>0</v>
      </c>
    </row>
    <row r="6" spans="1:8" ht="140.25" x14ac:dyDescent="0.2">
      <c r="A6" t="s">
        <v>2184</v>
      </c>
      <c r="B6" t="s">
        <v>2106</v>
      </c>
      <c r="C6">
        <v>1</v>
      </c>
      <c r="D6" s="1" t="s">
        <v>2107</v>
      </c>
      <c r="E6" t="s">
        <v>2108</v>
      </c>
      <c r="F6">
        <v>1</v>
      </c>
      <c r="G6">
        <v>50</v>
      </c>
      <c r="H6" s="2" t="s">
        <v>2109</v>
      </c>
    </row>
    <row r="7" spans="1:8" ht="153" x14ac:dyDescent="0.2">
      <c r="A7" t="s">
        <v>2184</v>
      </c>
      <c r="B7" t="s">
        <v>2110</v>
      </c>
      <c r="C7">
        <v>1</v>
      </c>
      <c r="D7" s="1" t="s">
        <v>2111</v>
      </c>
      <c r="E7" t="s">
        <v>2108</v>
      </c>
      <c r="F7">
        <v>1</v>
      </c>
      <c r="G7">
        <v>50</v>
      </c>
      <c r="H7" s="2" t="s">
        <v>2112</v>
      </c>
    </row>
    <row r="8" spans="1:8" x14ac:dyDescent="0.2">
      <c r="A8" t="s">
        <v>2184</v>
      </c>
      <c r="B8" t="s">
        <v>2113</v>
      </c>
      <c r="C8">
        <v>2</v>
      </c>
      <c r="D8" s="1" t="s">
        <v>2114</v>
      </c>
      <c r="E8" t="s">
        <v>2187</v>
      </c>
      <c r="F8">
        <v>0</v>
      </c>
      <c r="G8">
        <v>0</v>
      </c>
    </row>
    <row r="9" spans="1:8" ht="140.25" x14ac:dyDescent="0.2">
      <c r="A9" t="s">
        <v>2184</v>
      </c>
      <c r="B9" t="s">
        <v>2115</v>
      </c>
      <c r="C9">
        <v>1</v>
      </c>
      <c r="D9" s="1" t="s">
        <v>2116</v>
      </c>
      <c r="E9" t="s">
        <v>2108</v>
      </c>
      <c r="F9">
        <v>1</v>
      </c>
      <c r="G9">
        <v>150</v>
      </c>
      <c r="H9" s="2" t="s">
        <v>2196</v>
      </c>
    </row>
    <row r="10" spans="1:8" x14ac:dyDescent="0.2">
      <c r="A10" t="s">
        <v>2184</v>
      </c>
      <c r="B10" t="s">
        <v>2197</v>
      </c>
      <c r="C10">
        <v>2</v>
      </c>
      <c r="D10" s="1" t="s">
        <v>2198</v>
      </c>
      <c r="E10" t="s">
        <v>2187</v>
      </c>
      <c r="F10">
        <v>0</v>
      </c>
      <c r="G10">
        <v>0</v>
      </c>
    </row>
    <row r="11" spans="1:8" ht="102" x14ac:dyDescent="0.2">
      <c r="A11" t="s">
        <v>2184</v>
      </c>
      <c r="B11" t="s">
        <v>2199</v>
      </c>
      <c r="C11">
        <v>1</v>
      </c>
      <c r="D11" s="1" t="s">
        <v>2200</v>
      </c>
      <c r="E11" t="s">
        <v>2108</v>
      </c>
      <c r="F11">
        <v>1</v>
      </c>
      <c r="G11">
        <v>200</v>
      </c>
      <c r="H11" s="2" t="s">
        <v>2201</v>
      </c>
    </row>
    <row r="12" spans="1:8" ht="127.5" x14ac:dyDescent="0.2">
      <c r="A12" t="s">
        <v>2184</v>
      </c>
      <c r="B12" t="s">
        <v>2202</v>
      </c>
      <c r="C12">
        <v>1</v>
      </c>
      <c r="D12" s="1" t="s">
        <v>2203</v>
      </c>
      <c r="E12" t="s">
        <v>2204</v>
      </c>
      <c r="F12">
        <v>1</v>
      </c>
      <c r="G12">
        <v>20</v>
      </c>
      <c r="H12" s="2" t="s">
        <v>2205</v>
      </c>
    </row>
    <row r="13" spans="1:8" x14ac:dyDescent="0.2">
      <c r="A13" t="s">
        <v>2184</v>
      </c>
      <c r="B13" t="s">
        <v>2206</v>
      </c>
      <c r="C13">
        <v>2</v>
      </c>
      <c r="D13" s="1" t="s">
        <v>2207</v>
      </c>
      <c r="E13" t="s">
        <v>2187</v>
      </c>
      <c r="F13">
        <v>0</v>
      </c>
      <c r="G13">
        <v>0</v>
      </c>
    </row>
    <row r="14" spans="1:8" ht="114.75" x14ac:dyDescent="0.2">
      <c r="A14" t="s">
        <v>2184</v>
      </c>
      <c r="B14" t="s">
        <v>2208</v>
      </c>
      <c r="C14">
        <v>1</v>
      </c>
      <c r="D14" s="1" t="s">
        <v>2209</v>
      </c>
      <c r="E14" t="s">
        <v>2108</v>
      </c>
      <c r="F14">
        <v>1</v>
      </c>
      <c r="G14">
        <v>350</v>
      </c>
      <c r="H14" s="2" t="s">
        <v>2515</v>
      </c>
    </row>
    <row r="15" spans="1:8" x14ac:dyDescent="0.2">
      <c r="A15" t="s">
        <v>2184</v>
      </c>
      <c r="B15" t="s">
        <v>2516</v>
      </c>
      <c r="C15">
        <v>2</v>
      </c>
      <c r="D15" s="1" t="s">
        <v>2517</v>
      </c>
      <c r="E15" t="s">
        <v>2187</v>
      </c>
      <c r="F15">
        <v>0</v>
      </c>
      <c r="G15">
        <v>0</v>
      </c>
    </row>
    <row r="16" spans="1:8" ht="114.75" x14ac:dyDescent="0.2">
      <c r="A16" t="s">
        <v>2184</v>
      </c>
      <c r="B16" t="s">
        <v>2518</v>
      </c>
      <c r="C16">
        <v>1</v>
      </c>
      <c r="D16" s="1" t="s">
        <v>2519</v>
      </c>
      <c r="E16" t="s">
        <v>2192</v>
      </c>
      <c r="F16">
        <v>1</v>
      </c>
      <c r="G16">
        <v>3000</v>
      </c>
      <c r="H16" s="2" t="s">
        <v>2520</v>
      </c>
    </row>
    <row r="17" spans="1:8" x14ac:dyDescent="0.2">
      <c r="A17" t="s">
        <v>2184</v>
      </c>
      <c r="B17" t="s">
        <v>2521</v>
      </c>
      <c r="C17">
        <v>2</v>
      </c>
      <c r="D17" s="1" t="s">
        <v>2522</v>
      </c>
      <c r="E17" t="s">
        <v>2187</v>
      </c>
      <c r="F17">
        <v>0</v>
      </c>
      <c r="G17">
        <v>0</v>
      </c>
    </row>
    <row r="18" spans="1:8" ht="63.75" x14ac:dyDescent="0.2">
      <c r="A18" t="s">
        <v>2184</v>
      </c>
      <c r="B18" t="s">
        <v>2523</v>
      </c>
      <c r="C18">
        <v>2</v>
      </c>
      <c r="D18" s="1" t="s">
        <v>2524</v>
      </c>
      <c r="E18" t="s">
        <v>2187</v>
      </c>
      <c r="F18">
        <v>0</v>
      </c>
      <c r="G18">
        <v>0</v>
      </c>
    </row>
    <row r="19" spans="1:8" ht="25.5" x14ac:dyDescent="0.2">
      <c r="A19" t="s">
        <v>2184</v>
      </c>
      <c r="B19" t="s">
        <v>2525</v>
      </c>
      <c r="C19">
        <v>2</v>
      </c>
      <c r="D19" s="1" t="s">
        <v>2526</v>
      </c>
      <c r="E19" t="s">
        <v>2187</v>
      </c>
      <c r="F19">
        <v>0</v>
      </c>
      <c r="G19">
        <v>0</v>
      </c>
    </row>
    <row r="20" spans="1:8" ht="89.25" x14ac:dyDescent="0.2">
      <c r="A20" t="s">
        <v>2184</v>
      </c>
      <c r="B20" t="s">
        <v>2527</v>
      </c>
      <c r="C20">
        <v>1</v>
      </c>
      <c r="D20" s="1" t="s">
        <v>2528</v>
      </c>
      <c r="E20" t="s">
        <v>2192</v>
      </c>
      <c r="F20">
        <v>1</v>
      </c>
      <c r="G20">
        <v>400</v>
      </c>
      <c r="H20" s="1" t="s">
        <v>2529</v>
      </c>
    </row>
    <row r="21" spans="1:8" ht="114.75" x14ac:dyDescent="0.2">
      <c r="A21" t="s">
        <v>2184</v>
      </c>
      <c r="B21" t="s">
        <v>2530</v>
      </c>
      <c r="C21">
        <v>1</v>
      </c>
      <c r="D21" s="1" t="s">
        <v>2531</v>
      </c>
      <c r="E21" t="s">
        <v>2192</v>
      </c>
      <c r="F21">
        <v>1</v>
      </c>
      <c r="G21">
        <v>0</v>
      </c>
      <c r="H21" s="2" t="s">
        <v>1584</v>
      </c>
    </row>
    <row r="22" spans="1:8" ht="25.5" x14ac:dyDescent="0.2">
      <c r="A22" t="s">
        <v>2184</v>
      </c>
      <c r="B22" t="s">
        <v>1585</v>
      </c>
      <c r="C22">
        <v>2</v>
      </c>
      <c r="D22" s="1" t="s">
        <v>1586</v>
      </c>
      <c r="E22" t="s">
        <v>2187</v>
      </c>
      <c r="F22">
        <v>0</v>
      </c>
      <c r="G22">
        <v>0</v>
      </c>
    </row>
    <row r="23" spans="1:8" ht="102" x14ac:dyDescent="0.2">
      <c r="A23" t="s">
        <v>2184</v>
      </c>
      <c r="B23" t="s">
        <v>1587</v>
      </c>
      <c r="C23">
        <v>1</v>
      </c>
      <c r="D23" s="1" t="s">
        <v>1588</v>
      </c>
      <c r="E23" t="s">
        <v>2192</v>
      </c>
      <c r="F23">
        <v>1</v>
      </c>
      <c r="G23">
        <v>400</v>
      </c>
      <c r="H23" s="1" t="s">
        <v>1589</v>
      </c>
    </row>
    <row r="24" spans="1:8" x14ac:dyDescent="0.2">
      <c r="A24" t="s">
        <v>2184</v>
      </c>
      <c r="B24" t="s">
        <v>1590</v>
      </c>
      <c r="C24">
        <v>2</v>
      </c>
      <c r="D24" s="1" t="s">
        <v>1591</v>
      </c>
      <c r="E24" t="s">
        <v>2187</v>
      </c>
      <c r="F24">
        <v>0</v>
      </c>
      <c r="G24">
        <v>0</v>
      </c>
    </row>
    <row r="25" spans="1:8" ht="89.25" x14ac:dyDescent="0.2">
      <c r="A25" t="s">
        <v>2184</v>
      </c>
      <c r="B25" t="s">
        <v>1592</v>
      </c>
      <c r="C25">
        <v>1</v>
      </c>
      <c r="D25" s="1" t="s">
        <v>1593</v>
      </c>
      <c r="E25" t="s">
        <v>2192</v>
      </c>
      <c r="F25">
        <v>1</v>
      </c>
      <c r="G25">
        <v>0</v>
      </c>
      <c r="H25" s="1" t="s">
        <v>1594</v>
      </c>
    </row>
    <row r="26" spans="1:8" ht="114.75" x14ac:dyDescent="0.2">
      <c r="A26" t="s">
        <v>2184</v>
      </c>
      <c r="B26" t="s">
        <v>1595</v>
      </c>
      <c r="C26">
        <v>1</v>
      </c>
      <c r="D26" s="1" t="s">
        <v>1596</v>
      </c>
      <c r="E26" t="s">
        <v>2192</v>
      </c>
      <c r="F26">
        <v>1</v>
      </c>
      <c r="G26">
        <v>0</v>
      </c>
      <c r="H26" s="2" t="s">
        <v>1597</v>
      </c>
    </row>
    <row r="27" spans="1:8" ht="89.25" x14ac:dyDescent="0.2">
      <c r="A27" t="s">
        <v>2184</v>
      </c>
      <c r="B27" t="s">
        <v>1598</v>
      </c>
      <c r="C27">
        <v>1</v>
      </c>
      <c r="D27" s="1" t="s">
        <v>1599</v>
      </c>
      <c r="E27" t="s">
        <v>2192</v>
      </c>
      <c r="F27">
        <v>1</v>
      </c>
      <c r="G27">
        <v>0</v>
      </c>
      <c r="H27" s="1" t="s">
        <v>1600</v>
      </c>
    </row>
    <row r="28" spans="1:8" ht="114.75" x14ac:dyDescent="0.2">
      <c r="A28" t="s">
        <v>2184</v>
      </c>
      <c r="B28" t="s">
        <v>1601</v>
      </c>
      <c r="C28">
        <v>1</v>
      </c>
      <c r="D28" s="1" t="s">
        <v>1602</v>
      </c>
      <c r="E28" t="s">
        <v>2192</v>
      </c>
      <c r="F28">
        <v>1</v>
      </c>
      <c r="G28">
        <v>0</v>
      </c>
      <c r="H28" s="2" t="s">
        <v>2440</v>
      </c>
    </row>
    <row r="29" spans="1:8" ht="89.25" x14ac:dyDescent="0.2">
      <c r="A29" t="s">
        <v>2184</v>
      </c>
      <c r="B29" t="s">
        <v>2441</v>
      </c>
      <c r="C29">
        <v>1</v>
      </c>
      <c r="D29" s="1" t="s">
        <v>2442</v>
      </c>
      <c r="E29" t="s">
        <v>2192</v>
      </c>
      <c r="F29">
        <v>1</v>
      </c>
      <c r="G29">
        <v>0</v>
      </c>
      <c r="H29" s="2" t="s">
        <v>2443</v>
      </c>
    </row>
    <row r="30" spans="1:8" ht="114.75" x14ac:dyDescent="0.2">
      <c r="A30" t="s">
        <v>2184</v>
      </c>
      <c r="B30" t="s">
        <v>2444</v>
      </c>
      <c r="C30">
        <v>1</v>
      </c>
      <c r="D30" s="1" t="s">
        <v>2445</v>
      </c>
      <c r="E30" t="s">
        <v>2192</v>
      </c>
      <c r="F30">
        <v>1</v>
      </c>
      <c r="G30">
        <v>0</v>
      </c>
      <c r="H30" s="2" t="s">
        <v>2446</v>
      </c>
    </row>
    <row r="31" spans="1:8" ht="25.5" x14ac:dyDescent="0.2">
      <c r="A31" t="s">
        <v>2184</v>
      </c>
      <c r="B31" t="s">
        <v>2447</v>
      </c>
      <c r="C31">
        <v>2</v>
      </c>
      <c r="D31" s="1" t="s">
        <v>1815</v>
      </c>
      <c r="E31" t="s">
        <v>2187</v>
      </c>
      <c r="F31">
        <v>0</v>
      </c>
      <c r="G31">
        <v>0</v>
      </c>
    </row>
    <row r="32" spans="1:8" ht="76.5" x14ac:dyDescent="0.2">
      <c r="A32" t="s">
        <v>2184</v>
      </c>
      <c r="B32" t="s">
        <v>1816</v>
      </c>
      <c r="C32">
        <v>1</v>
      </c>
      <c r="D32" s="1" t="s">
        <v>1817</v>
      </c>
      <c r="E32" t="s">
        <v>2192</v>
      </c>
      <c r="F32">
        <v>1</v>
      </c>
      <c r="G32">
        <v>0</v>
      </c>
      <c r="H32" s="1" t="s">
        <v>1818</v>
      </c>
    </row>
    <row r="33" spans="1:8" ht="76.5" x14ac:dyDescent="0.2">
      <c r="A33" t="s">
        <v>2184</v>
      </c>
      <c r="B33" t="s">
        <v>1819</v>
      </c>
      <c r="C33">
        <v>1</v>
      </c>
      <c r="D33" s="1" t="s">
        <v>1820</v>
      </c>
      <c r="E33" t="s">
        <v>2192</v>
      </c>
      <c r="F33">
        <v>1</v>
      </c>
      <c r="G33">
        <v>0</v>
      </c>
      <c r="H33" s="1" t="s">
        <v>1821</v>
      </c>
    </row>
    <row r="34" spans="1:8" ht="25.5" x14ac:dyDescent="0.2">
      <c r="A34" t="s">
        <v>2184</v>
      </c>
      <c r="B34" t="s">
        <v>1822</v>
      </c>
      <c r="C34">
        <v>2</v>
      </c>
      <c r="D34" s="1" t="s">
        <v>1823</v>
      </c>
      <c r="E34" t="s">
        <v>2187</v>
      </c>
      <c r="F34">
        <v>0</v>
      </c>
      <c r="G34">
        <v>0</v>
      </c>
    </row>
    <row r="35" spans="1:8" ht="89.25" x14ac:dyDescent="0.2">
      <c r="A35" t="s">
        <v>2184</v>
      </c>
      <c r="B35" t="s">
        <v>1824</v>
      </c>
      <c r="C35">
        <v>1</v>
      </c>
      <c r="D35" s="1" t="s">
        <v>1825</v>
      </c>
      <c r="E35" t="s">
        <v>2192</v>
      </c>
      <c r="F35">
        <v>1</v>
      </c>
      <c r="G35">
        <v>0</v>
      </c>
      <c r="H35" s="2" t="s">
        <v>2307</v>
      </c>
    </row>
    <row r="36" spans="1:8" ht="114.75" x14ac:dyDescent="0.2">
      <c r="A36" t="s">
        <v>2184</v>
      </c>
      <c r="B36" t="s">
        <v>2308</v>
      </c>
      <c r="C36">
        <v>1</v>
      </c>
      <c r="D36" s="1" t="s">
        <v>2309</v>
      </c>
      <c r="E36" t="s">
        <v>2192</v>
      </c>
      <c r="F36">
        <v>1</v>
      </c>
      <c r="G36">
        <v>0</v>
      </c>
      <c r="H36" s="2" t="s">
        <v>2310</v>
      </c>
    </row>
    <row r="37" spans="1:8" ht="25.5" x14ac:dyDescent="0.2">
      <c r="A37" t="s">
        <v>2184</v>
      </c>
      <c r="B37" t="s">
        <v>2311</v>
      </c>
      <c r="C37">
        <v>2</v>
      </c>
      <c r="D37" s="1" t="s">
        <v>2312</v>
      </c>
      <c r="E37" t="s">
        <v>2187</v>
      </c>
      <c r="F37">
        <v>0</v>
      </c>
      <c r="G37">
        <v>0</v>
      </c>
    </row>
    <row r="38" spans="1:8" ht="89.25" x14ac:dyDescent="0.2">
      <c r="A38" t="s">
        <v>2184</v>
      </c>
      <c r="B38" t="s">
        <v>2313</v>
      </c>
      <c r="C38">
        <v>1</v>
      </c>
      <c r="D38" s="1" t="s">
        <v>2314</v>
      </c>
      <c r="E38" t="s">
        <v>2192</v>
      </c>
      <c r="F38">
        <v>1</v>
      </c>
      <c r="G38">
        <v>300</v>
      </c>
      <c r="H38" s="1" t="s">
        <v>2315</v>
      </c>
    </row>
    <row r="39" spans="1:8" ht="25.5" x14ac:dyDescent="0.2">
      <c r="A39" t="s">
        <v>2184</v>
      </c>
      <c r="B39" t="s">
        <v>2316</v>
      </c>
      <c r="C39">
        <v>2</v>
      </c>
      <c r="D39" s="1" t="s">
        <v>2317</v>
      </c>
      <c r="E39" t="s">
        <v>2187</v>
      </c>
      <c r="F39">
        <v>0</v>
      </c>
      <c r="G39">
        <v>0</v>
      </c>
    </row>
    <row r="40" spans="1:8" ht="89.25" x14ac:dyDescent="0.2">
      <c r="A40" t="s">
        <v>2184</v>
      </c>
      <c r="B40" t="s">
        <v>2318</v>
      </c>
      <c r="C40">
        <v>1</v>
      </c>
      <c r="D40" s="1" t="s">
        <v>1826</v>
      </c>
      <c r="E40" t="s">
        <v>2192</v>
      </c>
      <c r="F40">
        <v>1</v>
      </c>
      <c r="G40">
        <v>0</v>
      </c>
      <c r="H40" s="2" t="s">
        <v>1827</v>
      </c>
    </row>
    <row r="41" spans="1:8" ht="114.75" x14ac:dyDescent="0.2">
      <c r="A41" t="s">
        <v>2184</v>
      </c>
      <c r="B41" t="s">
        <v>1828</v>
      </c>
      <c r="C41">
        <v>1</v>
      </c>
      <c r="D41" s="1" t="s">
        <v>1829</v>
      </c>
      <c r="E41" t="s">
        <v>2192</v>
      </c>
      <c r="F41">
        <v>1</v>
      </c>
      <c r="G41">
        <v>0</v>
      </c>
      <c r="H41" s="2" t="s">
        <v>1830</v>
      </c>
    </row>
    <row r="42" spans="1:8" ht="25.5" x14ac:dyDescent="0.2">
      <c r="A42" t="s">
        <v>2184</v>
      </c>
      <c r="B42" t="s">
        <v>1831</v>
      </c>
      <c r="C42">
        <v>2</v>
      </c>
      <c r="D42" s="1" t="s">
        <v>1832</v>
      </c>
      <c r="E42" t="s">
        <v>2187</v>
      </c>
      <c r="F42">
        <v>0</v>
      </c>
      <c r="G42">
        <v>0</v>
      </c>
    </row>
    <row r="43" spans="1:8" ht="89.25" x14ac:dyDescent="0.2">
      <c r="A43" t="s">
        <v>2184</v>
      </c>
      <c r="B43" t="s">
        <v>2344</v>
      </c>
      <c r="C43">
        <v>1</v>
      </c>
      <c r="D43" s="1" t="s">
        <v>2345</v>
      </c>
      <c r="E43" t="s">
        <v>2192</v>
      </c>
      <c r="F43">
        <v>1</v>
      </c>
      <c r="G43">
        <v>0</v>
      </c>
      <c r="H43" s="2" t="s">
        <v>2134</v>
      </c>
    </row>
    <row r="44" spans="1:8" ht="38.25" x14ac:dyDescent="0.2">
      <c r="A44" t="s">
        <v>2184</v>
      </c>
      <c r="B44" t="s">
        <v>2135</v>
      </c>
      <c r="C44">
        <v>2</v>
      </c>
      <c r="D44" s="1" t="s">
        <v>2136</v>
      </c>
      <c r="E44" t="s">
        <v>2187</v>
      </c>
      <c r="F44">
        <v>0</v>
      </c>
      <c r="G44">
        <v>0</v>
      </c>
    </row>
    <row r="45" spans="1:8" ht="114.75" x14ac:dyDescent="0.2">
      <c r="A45" t="s">
        <v>2184</v>
      </c>
      <c r="B45" t="s">
        <v>2137</v>
      </c>
      <c r="C45">
        <v>1</v>
      </c>
      <c r="D45" s="1" t="s">
        <v>2138</v>
      </c>
      <c r="E45" t="s">
        <v>2192</v>
      </c>
      <c r="F45">
        <v>1</v>
      </c>
      <c r="G45">
        <v>0</v>
      </c>
      <c r="H45" s="2" t="s">
        <v>2139</v>
      </c>
    </row>
    <row r="46" spans="1:8" ht="25.5" x14ac:dyDescent="0.2">
      <c r="A46" t="s">
        <v>2184</v>
      </c>
      <c r="B46" t="s">
        <v>2140</v>
      </c>
      <c r="C46">
        <v>2</v>
      </c>
      <c r="D46" s="1" t="s">
        <v>2141</v>
      </c>
      <c r="E46" t="s">
        <v>2187</v>
      </c>
      <c r="F46">
        <v>0</v>
      </c>
      <c r="G46">
        <v>0</v>
      </c>
    </row>
    <row r="47" spans="1:8" ht="102" x14ac:dyDescent="0.2">
      <c r="A47" t="s">
        <v>2184</v>
      </c>
      <c r="B47" t="s">
        <v>2142</v>
      </c>
      <c r="C47">
        <v>1</v>
      </c>
      <c r="D47" s="1" t="s">
        <v>2143</v>
      </c>
      <c r="E47" t="s">
        <v>2192</v>
      </c>
      <c r="F47">
        <v>1</v>
      </c>
      <c r="G47">
        <v>0</v>
      </c>
      <c r="H47" s="1" t="s">
        <v>2144</v>
      </c>
    </row>
    <row r="48" spans="1:8" x14ac:dyDescent="0.2">
      <c r="A48" t="s">
        <v>2184</v>
      </c>
      <c r="B48" t="s">
        <v>2145</v>
      </c>
      <c r="C48">
        <v>2</v>
      </c>
      <c r="D48" s="1" t="s">
        <v>2146</v>
      </c>
      <c r="E48" t="s">
        <v>2187</v>
      </c>
      <c r="F48">
        <v>0</v>
      </c>
      <c r="G48">
        <v>0</v>
      </c>
    </row>
    <row r="49" spans="1:8" ht="127.5" x14ac:dyDescent="0.2">
      <c r="A49" t="s">
        <v>2184</v>
      </c>
      <c r="B49" t="s">
        <v>2147</v>
      </c>
      <c r="C49">
        <v>1</v>
      </c>
      <c r="D49" s="1" t="s">
        <v>2148</v>
      </c>
      <c r="E49" t="s">
        <v>2149</v>
      </c>
      <c r="F49">
        <v>1</v>
      </c>
      <c r="G49">
        <v>0</v>
      </c>
      <c r="H49" s="2" t="s">
        <v>1693</v>
      </c>
    </row>
    <row r="50" spans="1:8" ht="127.5" x14ac:dyDescent="0.2">
      <c r="A50" t="s">
        <v>2184</v>
      </c>
      <c r="B50" t="s">
        <v>1694</v>
      </c>
      <c r="C50">
        <v>1</v>
      </c>
      <c r="D50" s="1" t="s">
        <v>1695</v>
      </c>
      <c r="E50" t="s">
        <v>2149</v>
      </c>
      <c r="F50">
        <v>1</v>
      </c>
      <c r="G50">
        <v>0</v>
      </c>
      <c r="H50" s="2" t="s">
        <v>1696</v>
      </c>
    </row>
    <row r="51" spans="1:8" x14ac:dyDescent="0.2">
      <c r="A51" t="s">
        <v>2184</v>
      </c>
      <c r="B51" t="s">
        <v>1697</v>
      </c>
      <c r="C51">
        <v>2</v>
      </c>
      <c r="D51" s="1" t="s">
        <v>1698</v>
      </c>
      <c r="E51" t="s">
        <v>2187</v>
      </c>
      <c r="F51">
        <v>0</v>
      </c>
      <c r="G51">
        <v>0</v>
      </c>
    </row>
    <row r="52" spans="1:8" ht="38.25" x14ac:dyDescent="0.2">
      <c r="A52" t="s">
        <v>2184</v>
      </c>
      <c r="B52" t="s">
        <v>1699</v>
      </c>
      <c r="C52">
        <v>2</v>
      </c>
      <c r="D52" s="1" t="s">
        <v>1700</v>
      </c>
      <c r="E52" t="s">
        <v>2187</v>
      </c>
      <c r="F52">
        <v>0</v>
      </c>
      <c r="G52">
        <v>0</v>
      </c>
    </row>
    <row r="53" spans="1:8" ht="178.5" x14ac:dyDescent="0.2">
      <c r="A53" t="s">
        <v>2184</v>
      </c>
      <c r="B53" t="s">
        <v>1701</v>
      </c>
      <c r="C53">
        <v>1</v>
      </c>
      <c r="D53" s="1" t="s">
        <v>1702</v>
      </c>
      <c r="E53" t="s">
        <v>2108</v>
      </c>
      <c r="F53">
        <v>1</v>
      </c>
      <c r="G53">
        <v>0</v>
      </c>
      <c r="H53" s="2" t="s">
        <v>1703</v>
      </c>
    </row>
    <row r="54" spans="1:8" ht="178.5" x14ac:dyDescent="0.2">
      <c r="A54" t="s">
        <v>2184</v>
      </c>
      <c r="B54" t="s">
        <v>1704</v>
      </c>
      <c r="C54">
        <v>1</v>
      </c>
      <c r="D54" s="1" t="s">
        <v>1705</v>
      </c>
      <c r="E54" t="s">
        <v>2108</v>
      </c>
      <c r="F54">
        <v>1</v>
      </c>
      <c r="G54">
        <v>240</v>
      </c>
      <c r="H54" s="2" t="s">
        <v>2487</v>
      </c>
    </row>
    <row r="55" spans="1:8" ht="51" x14ac:dyDescent="0.2">
      <c r="A55" t="s">
        <v>2184</v>
      </c>
      <c r="B55" t="s">
        <v>2488</v>
      </c>
      <c r="C55">
        <v>2</v>
      </c>
      <c r="D55" s="1" t="s">
        <v>2489</v>
      </c>
      <c r="E55" t="s">
        <v>2187</v>
      </c>
      <c r="F55">
        <v>0</v>
      </c>
      <c r="G55">
        <v>0</v>
      </c>
    </row>
    <row r="56" spans="1:8" ht="127.5" x14ac:dyDescent="0.2">
      <c r="A56" t="s">
        <v>2184</v>
      </c>
      <c r="B56" t="s">
        <v>2490</v>
      </c>
      <c r="C56">
        <v>1</v>
      </c>
      <c r="D56" s="1" t="s">
        <v>2491</v>
      </c>
      <c r="E56" t="s">
        <v>2108</v>
      </c>
      <c r="F56">
        <v>1</v>
      </c>
      <c r="G56">
        <v>685</v>
      </c>
      <c r="H56" s="2" t="s">
        <v>2492</v>
      </c>
    </row>
    <row r="57" spans="1:8" ht="102" x14ac:dyDescent="0.2">
      <c r="A57" t="s">
        <v>2184</v>
      </c>
      <c r="B57" t="s">
        <v>2493</v>
      </c>
      <c r="C57">
        <v>1</v>
      </c>
      <c r="D57" s="1" t="s">
        <v>2494</v>
      </c>
      <c r="E57" t="s">
        <v>2108</v>
      </c>
      <c r="F57">
        <v>1</v>
      </c>
      <c r="G57">
        <v>795</v>
      </c>
      <c r="H57" s="2" t="s">
        <v>2495</v>
      </c>
    </row>
    <row r="58" spans="1:8" ht="140.25" x14ac:dyDescent="0.2">
      <c r="A58" t="s">
        <v>2184</v>
      </c>
      <c r="B58" t="s">
        <v>2496</v>
      </c>
      <c r="C58">
        <v>1</v>
      </c>
      <c r="D58" s="1" t="s">
        <v>2497</v>
      </c>
      <c r="E58" t="s">
        <v>2108</v>
      </c>
      <c r="F58">
        <v>1</v>
      </c>
      <c r="G58">
        <v>895</v>
      </c>
      <c r="H58" s="2" t="s">
        <v>1956</v>
      </c>
    </row>
    <row r="59" spans="1:8" ht="102" x14ac:dyDescent="0.2">
      <c r="A59" t="s">
        <v>2184</v>
      </c>
      <c r="B59" t="s">
        <v>1957</v>
      </c>
      <c r="C59">
        <v>1</v>
      </c>
      <c r="D59" s="1" t="s">
        <v>1958</v>
      </c>
      <c r="E59" t="s">
        <v>2108</v>
      </c>
      <c r="F59">
        <v>1</v>
      </c>
      <c r="G59">
        <v>200</v>
      </c>
      <c r="H59" s="2" t="s">
        <v>1959</v>
      </c>
    </row>
    <row r="60" spans="1:8" ht="127.5" x14ac:dyDescent="0.2">
      <c r="A60" t="s">
        <v>2184</v>
      </c>
      <c r="B60" t="s">
        <v>1960</v>
      </c>
      <c r="C60">
        <v>1</v>
      </c>
      <c r="D60" s="1" t="s">
        <v>1961</v>
      </c>
      <c r="E60" t="s">
        <v>2108</v>
      </c>
      <c r="F60">
        <v>1</v>
      </c>
      <c r="G60">
        <v>1115</v>
      </c>
      <c r="H60" s="2" t="s">
        <v>1962</v>
      </c>
    </row>
    <row r="61" spans="1:8" ht="102" x14ac:dyDescent="0.2">
      <c r="A61" t="s">
        <v>2184</v>
      </c>
      <c r="B61" t="s">
        <v>1963</v>
      </c>
      <c r="C61">
        <v>1</v>
      </c>
      <c r="D61" s="1" t="s">
        <v>1964</v>
      </c>
      <c r="E61" t="s">
        <v>2108</v>
      </c>
      <c r="F61">
        <v>1</v>
      </c>
      <c r="G61">
        <v>1355</v>
      </c>
      <c r="H61" s="2" t="s">
        <v>2418</v>
      </c>
    </row>
    <row r="62" spans="1:8" ht="51" x14ac:dyDescent="0.2">
      <c r="A62" t="s">
        <v>2184</v>
      </c>
      <c r="B62" t="s">
        <v>2419</v>
      </c>
      <c r="C62">
        <v>2</v>
      </c>
      <c r="D62" s="1" t="s">
        <v>2420</v>
      </c>
      <c r="E62" t="s">
        <v>2187</v>
      </c>
      <c r="F62">
        <v>0</v>
      </c>
      <c r="G62">
        <v>0</v>
      </c>
    </row>
    <row r="63" spans="1:8" ht="127.5" x14ac:dyDescent="0.2">
      <c r="A63" t="s">
        <v>2184</v>
      </c>
      <c r="B63" t="s">
        <v>2421</v>
      </c>
      <c r="C63">
        <v>1</v>
      </c>
      <c r="D63" s="1" t="s">
        <v>2422</v>
      </c>
      <c r="E63" t="s">
        <v>2108</v>
      </c>
      <c r="F63">
        <v>1</v>
      </c>
      <c r="G63">
        <v>200</v>
      </c>
      <c r="H63" s="2" t="s">
        <v>2423</v>
      </c>
    </row>
    <row r="64" spans="1:8" ht="102" x14ac:dyDescent="0.2">
      <c r="A64" t="s">
        <v>2184</v>
      </c>
      <c r="B64" t="s">
        <v>2424</v>
      </c>
      <c r="C64">
        <v>1</v>
      </c>
      <c r="D64" s="1" t="s">
        <v>2425</v>
      </c>
      <c r="E64" t="s">
        <v>2108</v>
      </c>
      <c r="F64">
        <v>1</v>
      </c>
      <c r="G64">
        <v>415</v>
      </c>
      <c r="H64" s="2" t="s">
        <v>2426</v>
      </c>
    </row>
    <row r="65" spans="1:8" ht="140.25" x14ac:dyDescent="0.2">
      <c r="A65" t="s">
        <v>2184</v>
      </c>
      <c r="B65" t="s">
        <v>2427</v>
      </c>
      <c r="C65">
        <v>1</v>
      </c>
      <c r="D65" s="1" t="s">
        <v>2428</v>
      </c>
      <c r="E65" t="s">
        <v>2108</v>
      </c>
      <c r="F65">
        <v>1</v>
      </c>
      <c r="G65">
        <v>775</v>
      </c>
      <c r="H65" s="2" t="s">
        <v>2429</v>
      </c>
    </row>
    <row r="66" spans="1:8" ht="102" x14ac:dyDescent="0.2">
      <c r="A66" t="s">
        <v>2184</v>
      </c>
      <c r="B66" t="s">
        <v>2430</v>
      </c>
      <c r="C66">
        <v>1</v>
      </c>
      <c r="D66" s="1" t="s">
        <v>2431</v>
      </c>
      <c r="E66" t="s">
        <v>2108</v>
      </c>
      <c r="F66">
        <v>1</v>
      </c>
      <c r="G66">
        <v>930</v>
      </c>
      <c r="H66" s="2" t="s">
        <v>2289</v>
      </c>
    </row>
    <row r="67" spans="1:8" ht="127.5" x14ac:dyDescent="0.2">
      <c r="A67" t="s">
        <v>2184</v>
      </c>
      <c r="B67" t="s">
        <v>2290</v>
      </c>
      <c r="C67">
        <v>1</v>
      </c>
      <c r="D67" s="1" t="s">
        <v>2291</v>
      </c>
      <c r="E67" t="s">
        <v>2108</v>
      </c>
      <c r="F67">
        <v>1</v>
      </c>
      <c r="G67">
        <v>980</v>
      </c>
      <c r="H67" s="2" t="s">
        <v>1807</v>
      </c>
    </row>
    <row r="68" spans="1:8" ht="102" x14ac:dyDescent="0.2">
      <c r="A68" t="s">
        <v>2184</v>
      </c>
      <c r="B68" t="s">
        <v>1808</v>
      </c>
      <c r="C68">
        <v>1</v>
      </c>
      <c r="D68" s="1" t="s">
        <v>1809</v>
      </c>
      <c r="E68" t="s">
        <v>2108</v>
      </c>
      <c r="F68">
        <v>1</v>
      </c>
      <c r="G68">
        <v>1205</v>
      </c>
      <c r="H68" s="2" t="s">
        <v>1810</v>
      </c>
    </row>
    <row r="69" spans="1:8" x14ac:dyDescent="0.2">
      <c r="A69" t="s">
        <v>2184</v>
      </c>
      <c r="B69" t="s">
        <v>1811</v>
      </c>
      <c r="C69">
        <v>2</v>
      </c>
      <c r="D69" s="1" t="s">
        <v>1812</v>
      </c>
      <c r="E69" t="s">
        <v>2187</v>
      </c>
      <c r="F69">
        <v>0</v>
      </c>
      <c r="G69">
        <v>0</v>
      </c>
    </row>
    <row r="70" spans="1:8" ht="127.5" x14ac:dyDescent="0.2">
      <c r="A70" t="s">
        <v>2184</v>
      </c>
      <c r="B70" t="s">
        <v>1813</v>
      </c>
      <c r="C70">
        <v>1</v>
      </c>
      <c r="D70" s="1" t="s">
        <v>1814</v>
      </c>
      <c r="E70" t="s">
        <v>2108</v>
      </c>
      <c r="F70">
        <v>1</v>
      </c>
      <c r="G70">
        <v>51</v>
      </c>
      <c r="H70" s="2" t="s">
        <v>1431</v>
      </c>
    </row>
    <row r="71" spans="1:8" ht="102" x14ac:dyDescent="0.2">
      <c r="A71" t="s">
        <v>2184</v>
      </c>
      <c r="B71" t="s">
        <v>1432</v>
      </c>
      <c r="C71">
        <v>1</v>
      </c>
      <c r="D71" s="1" t="s">
        <v>1433</v>
      </c>
      <c r="E71" t="s">
        <v>2108</v>
      </c>
      <c r="F71">
        <v>1</v>
      </c>
      <c r="G71">
        <v>0</v>
      </c>
      <c r="H71" s="2" t="s">
        <v>1434</v>
      </c>
    </row>
    <row r="72" spans="1:8" ht="127.5" x14ac:dyDescent="0.2">
      <c r="A72" t="s">
        <v>2184</v>
      </c>
      <c r="B72" t="s">
        <v>1435</v>
      </c>
      <c r="C72">
        <v>1</v>
      </c>
      <c r="D72" s="1" t="s">
        <v>1436</v>
      </c>
      <c r="E72" t="s">
        <v>2108</v>
      </c>
      <c r="F72">
        <v>1</v>
      </c>
      <c r="G72">
        <v>100</v>
      </c>
      <c r="H72" s="2" t="s">
        <v>2465</v>
      </c>
    </row>
    <row r="73" spans="1:8" ht="102" x14ac:dyDescent="0.2">
      <c r="A73" t="s">
        <v>2184</v>
      </c>
      <c r="B73" t="s">
        <v>2466</v>
      </c>
      <c r="C73">
        <v>1</v>
      </c>
      <c r="D73" s="1" t="s">
        <v>2467</v>
      </c>
      <c r="E73" t="s">
        <v>2108</v>
      </c>
      <c r="F73">
        <v>1</v>
      </c>
      <c r="G73">
        <v>0</v>
      </c>
      <c r="H73" s="2" t="s">
        <v>2468</v>
      </c>
    </row>
    <row r="74" spans="1:8" ht="127.5" x14ac:dyDescent="0.2">
      <c r="A74" t="s">
        <v>2184</v>
      </c>
      <c r="B74" t="s">
        <v>2469</v>
      </c>
      <c r="C74">
        <v>1</v>
      </c>
      <c r="D74" s="1" t="s">
        <v>2470</v>
      </c>
      <c r="E74" t="s">
        <v>2108</v>
      </c>
      <c r="F74">
        <v>1</v>
      </c>
      <c r="G74">
        <v>120</v>
      </c>
      <c r="H74" s="2" t="s">
        <v>2471</v>
      </c>
    </row>
    <row r="75" spans="1:8" ht="102" x14ac:dyDescent="0.2">
      <c r="A75" t="s">
        <v>2184</v>
      </c>
      <c r="B75" t="s">
        <v>2472</v>
      </c>
      <c r="C75">
        <v>1</v>
      </c>
      <c r="D75" s="1" t="s">
        <v>2473</v>
      </c>
      <c r="E75" t="s">
        <v>2108</v>
      </c>
      <c r="F75">
        <v>1</v>
      </c>
      <c r="G75">
        <v>170</v>
      </c>
      <c r="H75" s="2" t="s">
        <v>1916</v>
      </c>
    </row>
    <row r="76" spans="1:8" ht="89.25" x14ac:dyDescent="0.2">
      <c r="A76" t="s">
        <v>2184</v>
      </c>
      <c r="B76" t="s">
        <v>1917</v>
      </c>
      <c r="C76">
        <v>1</v>
      </c>
      <c r="D76" s="1" t="s">
        <v>1918</v>
      </c>
      <c r="E76" t="s">
        <v>2108</v>
      </c>
      <c r="F76">
        <v>1</v>
      </c>
      <c r="G76">
        <v>0</v>
      </c>
      <c r="H76" s="2" t="s">
        <v>1919</v>
      </c>
    </row>
    <row r="77" spans="1:8" x14ac:dyDescent="0.2">
      <c r="A77" t="s">
        <v>2184</v>
      </c>
      <c r="B77" t="s">
        <v>1920</v>
      </c>
      <c r="C77">
        <v>2</v>
      </c>
      <c r="D77" s="1" t="s">
        <v>1921</v>
      </c>
      <c r="E77" t="s">
        <v>2187</v>
      </c>
      <c r="F77">
        <v>0</v>
      </c>
      <c r="G77">
        <v>0</v>
      </c>
    </row>
    <row r="78" spans="1:8" ht="89.25" x14ac:dyDescent="0.2">
      <c r="A78" t="s">
        <v>2184</v>
      </c>
      <c r="B78" t="s">
        <v>1922</v>
      </c>
      <c r="C78">
        <v>2</v>
      </c>
      <c r="D78" s="1" t="s">
        <v>1923</v>
      </c>
      <c r="E78" t="s">
        <v>2187</v>
      </c>
      <c r="F78">
        <v>0</v>
      </c>
      <c r="G78">
        <v>0</v>
      </c>
    </row>
    <row r="79" spans="1:8" ht="114.75" x14ac:dyDescent="0.2">
      <c r="A79" t="s">
        <v>2184</v>
      </c>
      <c r="B79" t="s">
        <v>1924</v>
      </c>
      <c r="C79">
        <v>1</v>
      </c>
      <c r="D79" s="1" t="s">
        <v>1925</v>
      </c>
      <c r="E79" t="s">
        <v>2149</v>
      </c>
      <c r="F79">
        <v>1</v>
      </c>
      <c r="G79">
        <v>1.6</v>
      </c>
      <c r="H79" s="2" t="s">
        <v>1926</v>
      </c>
    </row>
    <row r="80" spans="1:8" ht="102" x14ac:dyDescent="0.2">
      <c r="A80" t="s">
        <v>2184</v>
      </c>
      <c r="B80" t="s">
        <v>1927</v>
      </c>
      <c r="C80">
        <v>1</v>
      </c>
      <c r="D80" s="1" t="s">
        <v>1928</v>
      </c>
      <c r="E80" t="s">
        <v>2149</v>
      </c>
      <c r="F80">
        <v>1</v>
      </c>
      <c r="G80">
        <v>0.5</v>
      </c>
      <c r="H80" s="2" t="s">
        <v>1929</v>
      </c>
    </row>
    <row r="81" spans="1:8" x14ac:dyDescent="0.2">
      <c r="A81" t="s">
        <v>2184</v>
      </c>
      <c r="B81" t="s">
        <v>1930</v>
      </c>
      <c r="C81">
        <v>2</v>
      </c>
      <c r="D81" s="1" t="s">
        <v>1931</v>
      </c>
      <c r="E81" t="s">
        <v>2187</v>
      </c>
      <c r="F81">
        <v>0</v>
      </c>
      <c r="G81">
        <v>0</v>
      </c>
    </row>
    <row r="82" spans="1:8" ht="102" x14ac:dyDescent="0.2">
      <c r="A82" t="s">
        <v>2184</v>
      </c>
      <c r="B82" t="s">
        <v>1932</v>
      </c>
      <c r="C82">
        <v>1</v>
      </c>
      <c r="D82" s="1" t="s">
        <v>1933</v>
      </c>
      <c r="E82" t="s">
        <v>2149</v>
      </c>
      <c r="F82">
        <v>1</v>
      </c>
      <c r="G82">
        <v>5</v>
      </c>
      <c r="H82" s="2" t="s">
        <v>1934</v>
      </c>
    </row>
    <row r="83" spans="1:8" x14ac:dyDescent="0.2">
      <c r="A83" t="s">
        <v>2184</v>
      </c>
      <c r="B83" t="s">
        <v>1935</v>
      </c>
      <c r="C83">
        <v>2</v>
      </c>
      <c r="D83" s="1" t="s">
        <v>1936</v>
      </c>
      <c r="E83" t="s">
        <v>2187</v>
      </c>
      <c r="F83">
        <v>0</v>
      </c>
      <c r="G83">
        <v>0</v>
      </c>
    </row>
    <row r="84" spans="1:8" ht="89.25" x14ac:dyDescent="0.2">
      <c r="A84" t="s">
        <v>2184</v>
      </c>
      <c r="B84" t="s">
        <v>1937</v>
      </c>
      <c r="C84">
        <v>1</v>
      </c>
      <c r="D84" s="1" t="s">
        <v>1938</v>
      </c>
      <c r="E84" t="s">
        <v>2192</v>
      </c>
      <c r="F84">
        <v>1</v>
      </c>
      <c r="G84">
        <v>200</v>
      </c>
      <c r="H84" s="2" t="s">
        <v>1939</v>
      </c>
    </row>
    <row r="85" spans="1:8" ht="25.5" x14ac:dyDescent="0.2">
      <c r="A85" t="s">
        <v>2184</v>
      </c>
      <c r="B85" t="s">
        <v>1940</v>
      </c>
      <c r="C85">
        <v>2</v>
      </c>
      <c r="D85" s="1" t="s">
        <v>1941</v>
      </c>
      <c r="E85" t="s">
        <v>2187</v>
      </c>
      <c r="F85">
        <v>0</v>
      </c>
      <c r="G85">
        <v>0</v>
      </c>
    </row>
    <row r="86" spans="1:8" ht="25.5" x14ac:dyDescent="0.2">
      <c r="A86" t="s">
        <v>2184</v>
      </c>
      <c r="B86" t="s">
        <v>1942</v>
      </c>
      <c r="C86">
        <v>2</v>
      </c>
      <c r="D86" s="1" t="s">
        <v>1943</v>
      </c>
      <c r="E86" t="s">
        <v>2187</v>
      </c>
      <c r="F86">
        <v>0</v>
      </c>
      <c r="G86">
        <v>0</v>
      </c>
    </row>
    <row r="87" spans="1:8" ht="89.25" x14ac:dyDescent="0.2">
      <c r="A87" t="s">
        <v>2184</v>
      </c>
      <c r="B87" t="s">
        <v>1944</v>
      </c>
      <c r="C87">
        <v>1</v>
      </c>
      <c r="D87" s="1" t="s">
        <v>1945</v>
      </c>
      <c r="E87" t="s">
        <v>1946</v>
      </c>
      <c r="F87">
        <v>1</v>
      </c>
      <c r="G87">
        <v>13</v>
      </c>
      <c r="H87" s="2" t="s">
        <v>1947</v>
      </c>
    </row>
    <row r="88" spans="1:8" ht="89.25" x14ac:dyDescent="0.2">
      <c r="A88" t="s">
        <v>2184</v>
      </c>
      <c r="B88" t="s">
        <v>1948</v>
      </c>
      <c r="C88">
        <v>1</v>
      </c>
      <c r="D88" s="1" t="s">
        <v>1949</v>
      </c>
      <c r="E88" t="s">
        <v>1946</v>
      </c>
      <c r="F88">
        <v>1</v>
      </c>
      <c r="G88">
        <v>22.4</v>
      </c>
      <c r="H88" s="2" t="s">
        <v>1950</v>
      </c>
    </row>
    <row r="89" spans="1:8" ht="25.5" x14ac:dyDescent="0.2">
      <c r="A89" t="s">
        <v>2184</v>
      </c>
      <c r="B89" t="s">
        <v>1951</v>
      </c>
      <c r="C89">
        <v>2</v>
      </c>
      <c r="D89" s="1" t="s">
        <v>1952</v>
      </c>
      <c r="E89" t="s">
        <v>2187</v>
      </c>
      <c r="F89">
        <v>0</v>
      </c>
      <c r="G89">
        <v>0</v>
      </c>
    </row>
    <row r="90" spans="1:8" ht="89.25" x14ac:dyDescent="0.2">
      <c r="A90" t="s">
        <v>2184</v>
      </c>
      <c r="B90" t="s">
        <v>1953</v>
      </c>
      <c r="C90">
        <v>1</v>
      </c>
      <c r="D90" s="1" t="s">
        <v>1954</v>
      </c>
      <c r="E90" t="s">
        <v>1946</v>
      </c>
      <c r="F90">
        <v>1</v>
      </c>
      <c r="G90">
        <v>26.3</v>
      </c>
      <c r="H90" s="2" t="s">
        <v>2485</v>
      </c>
    </row>
    <row r="91" spans="1:8" ht="102" x14ac:dyDescent="0.2">
      <c r="A91" t="s">
        <v>2184</v>
      </c>
      <c r="B91" t="s">
        <v>2486</v>
      </c>
      <c r="C91">
        <v>1</v>
      </c>
      <c r="D91" s="1" t="s">
        <v>1761</v>
      </c>
      <c r="E91" t="s">
        <v>1946</v>
      </c>
      <c r="F91">
        <v>1</v>
      </c>
      <c r="G91">
        <v>15</v>
      </c>
      <c r="H91" s="2" t="s">
        <v>1762</v>
      </c>
    </row>
    <row r="92" spans="1:8" ht="89.25" x14ac:dyDescent="0.2">
      <c r="A92" t="s">
        <v>2184</v>
      </c>
      <c r="B92" t="s">
        <v>1763</v>
      </c>
      <c r="C92">
        <v>1</v>
      </c>
      <c r="D92" s="1" t="s">
        <v>1764</v>
      </c>
      <c r="E92" t="s">
        <v>1946</v>
      </c>
      <c r="F92">
        <v>1</v>
      </c>
      <c r="G92">
        <v>80.8</v>
      </c>
      <c r="H92" s="2" t="s">
        <v>1765</v>
      </c>
    </row>
    <row r="93" spans="1:8" ht="25.5" x14ac:dyDescent="0.2">
      <c r="A93" t="s">
        <v>2184</v>
      </c>
      <c r="B93" t="s">
        <v>1766</v>
      </c>
      <c r="C93">
        <v>2</v>
      </c>
      <c r="D93" s="1" t="s">
        <v>1767</v>
      </c>
      <c r="E93" t="s">
        <v>2187</v>
      </c>
      <c r="F93">
        <v>0</v>
      </c>
      <c r="G93">
        <v>0</v>
      </c>
    </row>
    <row r="94" spans="1:8" ht="38.25" x14ac:dyDescent="0.2">
      <c r="A94" t="s">
        <v>2184</v>
      </c>
      <c r="B94" t="s">
        <v>1768</v>
      </c>
      <c r="C94">
        <v>2</v>
      </c>
      <c r="D94" s="1" t="s">
        <v>1769</v>
      </c>
      <c r="E94" t="s">
        <v>2187</v>
      </c>
      <c r="F94">
        <v>0</v>
      </c>
      <c r="G94">
        <v>0</v>
      </c>
    </row>
    <row r="95" spans="1:8" ht="140.25" x14ac:dyDescent="0.2">
      <c r="A95" t="s">
        <v>2184</v>
      </c>
      <c r="B95" t="s">
        <v>1770</v>
      </c>
      <c r="C95">
        <v>1</v>
      </c>
      <c r="D95" s="1" t="s">
        <v>1771</v>
      </c>
      <c r="E95" t="s">
        <v>1946</v>
      </c>
      <c r="F95">
        <v>1</v>
      </c>
      <c r="G95">
        <v>180.6</v>
      </c>
      <c r="H95" s="2" t="s">
        <v>2389</v>
      </c>
    </row>
    <row r="96" spans="1:8" ht="89.25" x14ac:dyDescent="0.2">
      <c r="A96" t="s">
        <v>2184</v>
      </c>
      <c r="B96" t="s">
        <v>2390</v>
      </c>
      <c r="C96">
        <v>1</v>
      </c>
      <c r="D96" s="1" t="s">
        <v>2391</v>
      </c>
      <c r="E96" t="s">
        <v>1946</v>
      </c>
      <c r="F96">
        <v>1</v>
      </c>
      <c r="G96">
        <v>147.5</v>
      </c>
      <c r="H96" s="2" t="s">
        <v>2392</v>
      </c>
    </row>
    <row r="97" spans="1:8" x14ac:dyDescent="0.2">
      <c r="A97" t="s">
        <v>2184</v>
      </c>
      <c r="B97" t="s">
        <v>2393</v>
      </c>
      <c r="C97">
        <v>2</v>
      </c>
      <c r="D97" s="1" t="s">
        <v>2394</v>
      </c>
      <c r="E97" t="s">
        <v>2187</v>
      </c>
      <c r="F97">
        <v>0</v>
      </c>
      <c r="G97">
        <v>0</v>
      </c>
    </row>
    <row r="98" spans="1:8" ht="102" x14ac:dyDescent="0.2">
      <c r="A98" t="s">
        <v>2184</v>
      </c>
      <c r="B98" t="s">
        <v>2395</v>
      </c>
      <c r="C98">
        <v>1</v>
      </c>
      <c r="D98" s="1" t="s">
        <v>2396</v>
      </c>
      <c r="E98" t="s">
        <v>1946</v>
      </c>
      <c r="F98">
        <v>1</v>
      </c>
      <c r="G98">
        <v>150</v>
      </c>
      <c r="H98" s="2" t="s">
        <v>2397</v>
      </c>
    </row>
    <row r="99" spans="1:8" ht="102" x14ac:dyDescent="0.2">
      <c r="A99" t="s">
        <v>2184</v>
      </c>
      <c r="B99" t="s">
        <v>2398</v>
      </c>
      <c r="C99">
        <v>1</v>
      </c>
      <c r="D99" s="1" t="s">
        <v>2399</v>
      </c>
      <c r="E99" t="s">
        <v>1946</v>
      </c>
      <c r="F99">
        <v>1</v>
      </c>
      <c r="G99">
        <v>345.5</v>
      </c>
      <c r="H99" s="2" t="s">
        <v>2400</v>
      </c>
    </row>
    <row r="100" spans="1:8" ht="51" x14ac:dyDescent="0.2">
      <c r="A100" t="s">
        <v>2184</v>
      </c>
      <c r="B100" t="s">
        <v>2401</v>
      </c>
      <c r="C100">
        <v>1</v>
      </c>
      <c r="D100" s="1" t="s">
        <v>2402</v>
      </c>
      <c r="E100" t="s">
        <v>2204</v>
      </c>
      <c r="F100">
        <v>1</v>
      </c>
      <c r="G100">
        <v>6</v>
      </c>
      <c r="H100" s="1" t="s">
        <v>2403</v>
      </c>
    </row>
    <row r="101" spans="1:8" x14ac:dyDescent="0.2">
      <c r="A101" t="s">
        <v>2184</v>
      </c>
      <c r="B101" t="s">
        <v>2404</v>
      </c>
      <c r="C101">
        <v>2</v>
      </c>
      <c r="D101" s="1" t="s">
        <v>2405</v>
      </c>
      <c r="E101" t="s">
        <v>2187</v>
      </c>
      <c r="F101">
        <v>0</v>
      </c>
      <c r="G101">
        <v>0</v>
      </c>
    </row>
    <row r="102" spans="1:8" ht="153" x14ac:dyDescent="0.2">
      <c r="A102" t="s">
        <v>2184</v>
      </c>
      <c r="B102" t="s">
        <v>2406</v>
      </c>
      <c r="C102">
        <v>1</v>
      </c>
      <c r="D102" s="1" t="s">
        <v>2407</v>
      </c>
      <c r="E102" t="s">
        <v>2204</v>
      </c>
      <c r="F102">
        <v>1</v>
      </c>
      <c r="G102">
        <v>6.4</v>
      </c>
      <c r="H102" s="2" t="s">
        <v>2408</v>
      </c>
    </row>
    <row r="103" spans="1:8" ht="89.25" x14ac:dyDescent="0.2">
      <c r="A103" t="s">
        <v>2184</v>
      </c>
      <c r="B103" t="s">
        <v>2409</v>
      </c>
      <c r="C103">
        <v>1</v>
      </c>
      <c r="D103" s="1" t="s">
        <v>2410</v>
      </c>
      <c r="E103" t="s">
        <v>2204</v>
      </c>
      <c r="F103">
        <v>1</v>
      </c>
      <c r="G103">
        <v>7.2</v>
      </c>
      <c r="H103" s="1" t="s">
        <v>2411</v>
      </c>
    </row>
    <row r="104" spans="1:8" x14ac:dyDescent="0.2">
      <c r="A104" t="s">
        <v>2184</v>
      </c>
      <c r="B104" t="s">
        <v>2412</v>
      </c>
      <c r="C104">
        <v>2</v>
      </c>
      <c r="D104" s="1" t="s">
        <v>2413</v>
      </c>
      <c r="E104" t="s">
        <v>2187</v>
      </c>
      <c r="F104">
        <v>0</v>
      </c>
      <c r="G104">
        <v>0</v>
      </c>
    </row>
    <row r="105" spans="1:8" ht="89.25" x14ac:dyDescent="0.2">
      <c r="A105" t="s">
        <v>2184</v>
      </c>
      <c r="B105" t="s">
        <v>2414</v>
      </c>
      <c r="C105">
        <v>1</v>
      </c>
      <c r="D105" s="1" t="s">
        <v>2415</v>
      </c>
      <c r="E105" t="s">
        <v>2149</v>
      </c>
      <c r="F105">
        <v>1</v>
      </c>
      <c r="G105">
        <v>7</v>
      </c>
      <c r="H105" s="2" t="s">
        <v>2416</v>
      </c>
    </row>
    <row r="106" spans="1:8" ht="102" x14ac:dyDescent="0.2">
      <c r="A106" t="s">
        <v>2184</v>
      </c>
      <c r="B106" t="s">
        <v>2417</v>
      </c>
      <c r="C106">
        <v>1</v>
      </c>
      <c r="D106" s="1" t="s">
        <v>2265</v>
      </c>
      <c r="E106" t="s">
        <v>1946</v>
      </c>
      <c r="F106">
        <v>1</v>
      </c>
      <c r="G106">
        <v>65.7</v>
      </c>
      <c r="H106" s="2" t="s">
        <v>2266</v>
      </c>
    </row>
    <row r="107" spans="1:8" ht="114.75" x14ac:dyDescent="0.2">
      <c r="A107" t="s">
        <v>2184</v>
      </c>
      <c r="B107" t="s">
        <v>2267</v>
      </c>
      <c r="C107">
        <v>1</v>
      </c>
      <c r="D107" s="1" t="s">
        <v>2268</v>
      </c>
      <c r="E107" t="s">
        <v>1946</v>
      </c>
      <c r="F107">
        <v>1</v>
      </c>
      <c r="G107">
        <v>0</v>
      </c>
      <c r="H107" s="1" t="s">
        <v>2269</v>
      </c>
    </row>
    <row r="108" spans="1:8" ht="25.5" x14ac:dyDescent="0.2">
      <c r="A108" t="s">
        <v>2184</v>
      </c>
      <c r="B108" t="s">
        <v>2270</v>
      </c>
      <c r="C108">
        <v>2</v>
      </c>
      <c r="D108" s="1" t="s">
        <v>2271</v>
      </c>
      <c r="E108" t="s">
        <v>2187</v>
      </c>
      <c r="F108">
        <v>0</v>
      </c>
      <c r="G108">
        <v>0</v>
      </c>
    </row>
    <row r="109" spans="1:8" ht="140.25" x14ac:dyDescent="0.2">
      <c r="A109" t="s">
        <v>2184</v>
      </c>
      <c r="B109" t="s">
        <v>2272</v>
      </c>
      <c r="C109">
        <v>1</v>
      </c>
      <c r="D109" s="1" t="s">
        <v>2273</v>
      </c>
      <c r="E109" t="s">
        <v>1946</v>
      </c>
      <c r="F109">
        <v>1</v>
      </c>
      <c r="G109">
        <v>152.56</v>
      </c>
      <c r="H109" s="2" t="s">
        <v>2274</v>
      </c>
    </row>
    <row r="110" spans="1:8" ht="102" x14ac:dyDescent="0.2">
      <c r="A110" t="s">
        <v>2184</v>
      </c>
      <c r="B110" t="s">
        <v>2275</v>
      </c>
      <c r="C110">
        <v>1</v>
      </c>
      <c r="D110" s="1" t="s">
        <v>2276</v>
      </c>
      <c r="E110" t="s">
        <v>1946</v>
      </c>
      <c r="F110">
        <v>1</v>
      </c>
      <c r="G110">
        <v>65.7</v>
      </c>
      <c r="H110" s="1" t="s">
        <v>2277</v>
      </c>
    </row>
    <row r="111" spans="1:8" ht="76.5" x14ac:dyDescent="0.2">
      <c r="A111" t="s">
        <v>2184</v>
      </c>
      <c r="B111" t="s">
        <v>2278</v>
      </c>
      <c r="C111">
        <v>1</v>
      </c>
      <c r="D111" s="1" t="s">
        <v>2279</v>
      </c>
      <c r="E111" t="s">
        <v>2108</v>
      </c>
      <c r="F111">
        <v>1</v>
      </c>
      <c r="G111">
        <v>0</v>
      </c>
      <c r="H111" s="1" t="s">
        <v>2280</v>
      </c>
    </row>
    <row r="112" spans="1:8" x14ac:dyDescent="0.2">
      <c r="A112" t="s">
        <v>2184</v>
      </c>
      <c r="B112" t="s">
        <v>2281</v>
      </c>
      <c r="C112">
        <v>2</v>
      </c>
      <c r="D112" s="1" t="s">
        <v>2282</v>
      </c>
      <c r="E112" t="s">
        <v>2187</v>
      </c>
      <c r="F112">
        <v>0</v>
      </c>
      <c r="G112">
        <v>0</v>
      </c>
    </row>
    <row r="113" spans="1:8" ht="25.5" x14ac:dyDescent="0.2">
      <c r="A113" t="s">
        <v>2184</v>
      </c>
      <c r="B113" t="s">
        <v>2283</v>
      </c>
      <c r="C113">
        <v>2</v>
      </c>
      <c r="D113" s="1" t="s">
        <v>2284</v>
      </c>
      <c r="E113" t="s">
        <v>2187</v>
      </c>
      <c r="F113">
        <v>0</v>
      </c>
      <c r="G113">
        <v>0</v>
      </c>
    </row>
    <row r="114" spans="1:8" x14ac:dyDescent="0.2">
      <c r="A114" t="s">
        <v>2184</v>
      </c>
      <c r="B114" t="s">
        <v>2285</v>
      </c>
      <c r="C114">
        <v>2</v>
      </c>
      <c r="D114" s="1" t="s">
        <v>2286</v>
      </c>
      <c r="E114" t="s">
        <v>2187</v>
      </c>
      <c r="F114">
        <v>0</v>
      </c>
      <c r="G114">
        <v>0</v>
      </c>
    </row>
    <row r="115" spans="1:8" ht="140.25" x14ac:dyDescent="0.2">
      <c r="A115" t="s">
        <v>2184</v>
      </c>
      <c r="B115" t="s">
        <v>2287</v>
      </c>
      <c r="C115">
        <v>1</v>
      </c>
      <c r="D115" s="1" t="s">
        <v>2288</v>
      </c>
      <c r="E115" t="s">
        <v>1946</v>
      </c>
      <c r="F115">
        <v>1</v>
      </c>
      <c r="G115">
        <v>13</v>
      </c>
      <c r="H115" s="2" t="s">
        <v>1428</v>
      </c>
    </row>
    <row r="116" spans="1:8" ht="114.75" x14ac:dyDescent="0.2">
      <c r="A116" t="s">
        <v>2184</v>
      </c>
      <c r="B116" t="s">
        <v>1429</v>
      </c>
      <c r="C116">
        <v>1</v>
      </c>
      <c r="D116" s="1" t="s">
        <v>1430</v>
      </c>
      <c r="E116" t="s">
        <v>1946</v>
      </c>
      <c r="F116">
        <v>1</v>
      </c>
      <c r="G116">
        <v>7</v>
      </c>
      <c r="H116" s="2" t="s">
        <v>1059</v>
      </c>
    </row>
    <row r="117" spans="1:8" ht="114.75" x14ac:dyDescent="0.2">
      <c r="A117" t="s">
        <v>2184</v>
      </c>
      <c r="B117" t="s">
        <v>1060</v>
      </c>
      <c r="C117">
        <v>1</v>
      </c>
      <c r="D117" s="1" t="s">
        <v>1061</v>
      </c>
      <c r="E117" t="s">
        <v>1946</v>
      </c>
      <c r="F117">
        <v>1</v>
      </c>
      <c r="G117">
        <v>15</v>
      </c>
      <c r="H117" s="2" t="s">
        <v>1062</v>
      </c>
    </row>
    <row r="118" spans="1:8" ht="102" x14ac:dyDescent="0.2">
      <c r="A118" t="s">
        <v>2184</v>
      </c>
      <c r="B118" t="s">
        <v>1063</v>
      </c>
      <c r="C118">
        <v>1</v>
      </c>
      <c r="D118" s="1" t="s">
        <v>1064</v>
      </c>
      <c r="E118" t="s">
        <v>1946</v>
      </c>
      <c r="F118">
        <v>1</v>
      </c>
      <c r="G118">
        <v>0</v>
      </c>
      <c r="H118" s="2" t="s">
        <v>1527</v>
      </c>
    </row>
    <row r="119" spans="1:8" ht="102" x14ac:dyDescent="0.2">
      <c r="A119" t="s">
        <v>2184</v>
      </c>
      <c r="B119" t="s">
        <v>1528</v>
      </c>
      <c r="C119">
        <v>1</v>
      </c>
      <c r="D119" s="1" t="s">
        <v>1529</v>
      </c>
      <c r="E119" t="s">
        <v>1946</v>
      </c>
      <c r="F119">
        <v>1</v>
      </c>
      <c r="G119">
        <v>32</v>
      </c>
      <c r="H119" s="2" t="s">
        <v>1530</v>
      </c>
    </row>
    <row r="120" spans="1:8" x14ac:dyDescent="0.2">
      <c r="A120" t="s">
        <v>2184</v>
      </c>
      <c r="B120" t="s">
        <v>1531</v>
      </c>
      <c r="C120">
        <v>2</v>
      </c>
      <c r="D120" s="1" t="s">
        <v>1532</v>
      </c>
      <c r="E120" t="s">
        <v>2187</v>
      </c>
      <c r="F120">
        <v>0</v>
      </c>
      <c r="G120">
        <v>0</v>
      </c>
    </row>
    <row r="121" spans="1:8" ht="63.75" x14ac:dyDescent="0.2">
      <c r="A121" t="s">
        <v>2184</v>
      </c>
      <c r="B121" t="s">
        <v>1533</v>
      </c>
      <c r="C121">
        <v>1</v>
      </c>
      <c r="D121" s="1" t="s">
        <v>1534</v>
      </c>
      <c r="E121" t="s">
        <v>1946</v>
      </c>
      <c r="F121">
        <v>1</v>
      </c>
      <c r="G121">
        <v>6</v>
      </c>
      <c r="H121" s="1" t="s">
        <v>1535</v>
      </c>
    </row>
    <row r="122" spans="1:8" ht="63.75" x14ac:dyDescent="0.2">
      <c r="A122" t="s">
        <v>2184</v>
      </c>
      <c r="B122" t="s">
        <v>1536</v>
      </c>
      <c r="C122">
        <v>1</v>
      </c>
      <c r="D122" s="1" t="s">
        <v>1537</v>
      </c>
      <c r="E122" t="s">
        <v>1946</v>
      </c>
      <c r="F122">
        <v>1</v>
      </c>
      <c r="G122">
        <v>8</v>
      </c>
      <c r="H122" s="1" t="s">
        <v>2210</v>
      </c>
    </row>
    <row r="123" spans="1:8" x14ac:dyDescent="0.2">
      <c r="A123" t="s">
        <v>2184</v>
      </c>
      <c r="B123" t="s">
        <v>2211</v>
      </c>
      <c r="C123">
        <v>2</v>
      </c>
      <c r="D123" s="1" t="s">
        <v>2212</v>
      </c>
      <c r="E123" t="s">
        <v>2187</v>
      </c>
      <c r="F123">
        <v>0</v>
      </c>
      <c r="G123">
        <v>0</v>
      </c>
    </row>
    <row r="124" spans="1:8" ht="63.75" x14ac:dyDescent="0.2">
      <c r="A124" t="s">
        <v>2184</v>
      </c>
      <c r="B124" t="s">
        <v>2213</v>
      </c>
      <c r="C124">
        <v>1</v>
      </c>
      <c r="D124" s="1" t="s">
        <v>2214</v>
      </c>
      <c r="E124" t="s">
        <v>2215</v>
      </c>
      <c r="F124">
        <v>1</v>
      </c>
      <c r="G124">
        <v>8</v>
      </c>
      <c r="H124" s="1" t="s">
        <v>2216</v>
      </c>
    </row>
    <row r="125" spans="1:8" ht="63.75" x14ac:dyDescent="0.2">
      <c r="A125" t="s">
        <v>2184</v>
      </c>
      <c r="B125" t="s">
        <v>2217</v>
      </c>
      <c r="C125">
        <v>1</v>
      </c>
      <c r="D125" s="1" t="s">
        <v>2218</v>
      </c>
      <c r="E125" t="s">
        <v>2215</v>
      </c>
      <c r="F125">
        <v>1</v>
      </c>
      <c r="G125">
        <v>0</v>
      </c>
      <c r="H125" s="1" t="s">
        <v>2219</v>
      </c>
    </row>
    <row r="126" spans="1:8" x14ac:dyDescent="0.2">
      <c r="A126" t="s">
        <v>2184</v>
      </c>
      <c r="B126" t="s">
        <v>2220</v>
      </c>
      <c r="C126">
        <v>2</v>
      </c>
      <c r="D126" s="1" t="s">
        <v>2221</v>
      </c>
      <c r="E126" t="s">
        <v>2187</v>
      </c>
      <c r="F126">
        <v>0</v>
      </c>
      <c r="G126">
        <v>0</v>
      </c>
    </row>
    <row r="127" spans="1:8" ht="76.5" x14ac:dyDescent="0.2">
      <c r="A127" t="s">
        <v>2184</v>
      </c>
      <c r="B127" t="s">
        <v>2222</v>
      </c>
      <c r="C127">
        <v>1</v>
      </c>
      <c r="D127" s="1" t="s">
        <v>2223</v>
      </c>
      <c r="E127" t="s">
        <v>1946</v>
      </c>
      <c r="F127">
        <v>1</v>
      </c>
      <c r="G127">
        <v>0</v>
      </c>
      <c r="H127" s="1" t="s">
        <v>2224</v>
      </c>
    </row>
    <row r="128" spans="1:8" ht="25.5" x14ac:dyDescent="0.2">
      <c r="A128" t="s">
        <v>2184</v>
      </c>
      <c r="B128" t="s">
        <v>2225</v>
      </c>
      <c r="C128">
        <v>2</v>
      </c>
      <c r="D128" s="1" t="s">
        <v>2226</v>
      </c>
      <c r="E128" t="s">
        <v>2187</v>
      </c>
      <c r="F128">
        <v>0</v>
      </c>
      <c r="G128">
        <v>0</v>
      </c>
    </row>
    <row r="129" spans="1:8" x14ac:dyDescent="0.2">
      <c r="A129" t="s">
        <v>2184</v>
      </c>
      <c r="B129" t="s">
        <v>2227</v>
      </c>
      <c r="C129">
        <v>2</v>
      </c>
      <c r="D129" s="1" t="s">
        <v>2228</v>
      </c>
      <c r="E129" t="s">
        <v>2187</v>
      </c>
      <c r="F129">
        <v>0</v>
      </c>
      <c r="G129">
        <v>0</v>
      </c>
    </row>
    <row r="130" spans="1:8" ht="153" x14ac:dyDescent="0.2">
      <c r="A130" t="s">
        <v>2184</v>
      </c>
      <c r="B130" t="s">
        <v>2229</v>
      </c>
      <c r="C130">
        <v>1</v>
      </c>
      <c r="D130" s="1" t="s">
        <v>2230</v>
      </c>
      <c r="E130" t="s">
        <v>1946</v>
      </c>
      <c r="F130">
        <v>1</v>
      </c>
      <c r="G130">
        <v>21</v>
      </c>
      <c r="H130" s="2" t="s">
        <v>2231</v>
      </c>
    </row>
    <row r="131" spans="1:8" ht="153" x14ac:dyDescent="0.2">
      <c r="A131" t="s">
        <v>2184</v>
      </c>
      <c r="B131" t="s">
        <v>2232</v>
      </c>
      <c r="C131">
        <v>1</v>
      </c>
      <c r="D131" s="1" t="s">
        <v>2233</v>
      </c>
      <c r="E131" t="s">
        <v>1946</v>
      </c>
      <c r="F131">
        <v>1</v>
      </c>
      <c r="G131">
        <v>0</v>
      </c>
      <c r="H131" s="2" t="s">
        <v>2234</v>
      </c>
    </row>
    <row r="132" spans="1:8" x14ac:dyDescent="0.2">
      <c r="A132" t="s">
        <v>2184</v>
      </c>
      <c r="B132" t="s">
        <v>2235</v>
      </c>
      <c r="C132">
        <v>2</v>
      </c>
      <c r="D132" s="1" t="s">
        <v>2236</v>
      </c>
      <c r="E132" t="s">
        <v>2187</v>
      </c>
      <c r="F132">
        <v>0</v>
      </c>
      <c r="G132">
        <v>0</v>
      </c>
    </row>
    <row r="133" spans="1:8" ht="153" x14ac:dyDescent="0.2">
      <c r="A133" t="s">
        <v>2184</v>
      </c>
      <c r="B133" t="s">
        <v>2237</v>
      </c>
      <c r="C133">
        <v>1</v>
      </c>
      <c r="D133" s="1" t="s">
        <v>2238</v>
      </c>
      <c r="E133" t="s">
        <v>1946</v>
      </c>
      <c r="F133">
        <v>1</v>
      </c>
      <c r="G133">
        <v>0</v>
      </c>
      <c r="H133" s="2" t="s">
        <v>2532</v>
      </c>
    </row>
    <row r="134" spans="1:8" x14ac:dyDescent="0.2">
      <c r="A134" t="s">
        <v>2184</v>
      </c>
      <c r="B134" t="s">
        <v>2533</v>
      </c>
      <c r="C134">
        <v>2</v>
      </c>
      <c r="D134" s="1" t="s">
        <v>2534</v>
      </c>
      <c r="E134" t="s">
        <v>2187</v>
      </c>
      <c r="F134">
        <v>0</v>
      </c>
      <c r="G134">
        <v>0</v>
      </c>
    </row>
    <row r="135" spans="1:8" ht="114.75" x14ac:dyDescent="0.2">
      <c r="A135" t="s">
        <v>2184</v>
      </c>
      <c r="B135" t="s">
        <v>2535</v>
      </c>
      <c r="C135">
        <v>1</v>
      </c>
      <c r="D135" s="1" t="s">
        <v>2536</v>
      </c>
      <c r="E135" t="s">
        <v>1946</v>
      </c>
      <c r="F135">
        <v>1</v>
      </c>
      <c r="G135">
        <v>16</v>
      </c>
      <c r="H135" s="2" t="s">
        <v>2537</v>
      </c>
    </row>
    <row r="136" spans="1:8" ht="127.5" x14ac:dyDescent="0.2">
      <c r="A136" t="s">
        <v>2184</v>
      </c>
      <c r="B136" t="s">
        <v>2538</v>
      </c>
      <c r="C136">
        <v>1</v>
      </c>
      <c r="D136" s="1" t="s">
        <v>2539</v>
      </c>
      <c r="E136" t="s">
        <v>1946</v>
      </c>
      <c r="F136">
        <v>1</v>
      </c>
      <c r="G136">
        <v>21</v>
      </c>
      <c r="H136" s="2" t="s">
        <v>2045</v>
      </c>
    </row>
    <row r="137" spans="1:8" ht="25.5" x14ac:dyDescent="0.2">
      <c r="A137" t="s">
        <v>2184</v>
      </c>
      <c r="B137" t="s">
        <v>2046</v>
      </c>
      <c r="C137">
        <v>2</v>
      </c>
      <c r="D137" s="1" t="s">
        <v>2047</v>
      </c>
      <c r="E137" t="s">
        <v>2187</v>
      </c>
      <c r="F137">
        <v>0</v>
      </c>
      <c r="G137">
        <v>0</v>
      </c>
    </row>
    <row r="138" spans="1:8" ht="25.5" x14ac:dyDescent="0.2">
      <c r="A138" t="s">
        <v>2184</v>
      </c>
      <c r="B138" t="s">
        <v>2048</v>
      </c>
      <c r="C138">
        <v>2</v>
      </c>
      <c r="D138" s="1" t="s">
        <v>2047</v>
      </c>
      <c r="E138" t="s">
        <v>2187</v>
      </c>
      <c r="F138">
        <v>0</v>
      </c>
      <c r="G138">
        <v>0</v>
      </c>
    </row>
    <row r="139" spans="1:8" ht="63.75" x14ac:dyDescent="0.2">
      <c r="A139" t="s">
        <v>2184</v>
      </c>
      <c r="B139" t="s">
        <v>2049</v>
      </c>
      <c r="C139">
        <v>1</v>
      </c>
      <c r="D139" s="1" t="s">
        <v>2050</v>
      </c>
      <c r="E139" t="s">
        <v>2149</v>
      </c>
      <c r="F139">
        <v>1</v>
      </c>
      <c r="G139">
        <v>1</v>
      </c>
      <c r="H139" s="2" t="s">
        <v>2064</v>
      </c>
    </row>
    <row r="140" spans="1:8" ht="25.5" x14ac:dyDescent="0.2">
      <c r="A140" t="s">
        <v>2184</v>
      </c>
      <c r="B140" t="s">
        <v>2065</v>
      </c>
      <c r="C140">
        <v>2</v>
      </c>
      <c r="D140" s="1" t="s">
        <v>1603</v>
      </c>
      <c r="E140" t="s">
        <v>2187</v>
      </c>
      <c r="F140">
        <v>0</v>
      </c>
      <c r="G140">
        <v>0</v>
      </c>
    </row>
    <row r="141" spans="1:8" ht="51" x14ac:dyDescent="0.2">
      <c r="A141" t="s">
        <v>2184</v>
      </c>
      <c r="B141" t="s">
        <v>1604</v>
      </c>
      <c r="C141">
        <v>1</v>
      </c>
      <c r="D141" s="1" t="s">
        <v>1605</v>
      </c>
      <c r="E141" t="s">
        <v>2149</v>
      </c>
      <c r="F141">
        <v>1</v>
      </c>
      <c r="G141">
        <v>0.4</v>
      </c>
      <c r="H141" s="1" t="s">
        <v>1606</v>
      </c>
    </row>
    <row r="142" spans="1:8" ht="51" x14ac:dyDescent="0.2">
      <c r="A142" t="s">
        <v>2184</v>
      </c>
      <c r="B142" t="s">
        <v>1607</v>
      </c>
      <c r="C142">
        <v>1</v>
      </c>
      <c r="D142" s="1" t="s">
        <v>1608</v>
      </c>
      <c r="E142" t="s">
        <v>2149</v>
      </c>
      <c r="F142">
        <v>1</v>
      </c>
      <c r="G142">
        <v>1</v>
      </c>
      <c r="H142" s="1" t="s">
        <v>1609</v>
      </c>
    </row>
    <row r="143" spans="1:8" ht="25.5" x14ac:dyDescent="0.2">
      <c r="A143" t="s">
        <v>2184</v>
      </c>
      <c r="B143" t="s">
        <v>1610</v>
      </c>
      <c r="C143">
        <v>2</v>
      </c>
      <c r="D143" s="1" t="s">
        <v>1611</v>
      </c>
      <c r="E143" t="s">
        <v>2187</v>
      </c>
      <c r="F143">
        <v>0</v>
      </c>
      <c r="G143">
        <v>0</v>
      </c>
    </row>
    <row r="144" spans="1:8" x14ac:dyDescent="0.2">
      <c r="A144" t="s">
        <v>2184</v>
      </c>
      <c r="B144" t="s">
        <v>1612</v>
      </c>
      <c r="C144">
        <v>2</v>
      </c>
      <c r="D144" s="1" t="s">
        <v>1613</v>
      </c>
      <c r="E144" t="s">
        <v>2187</v>
      </c>
      <c r="F144">
        <v>0</v>
      </c>
      <c r="G144">
        <v>0</v>
      </c>
    </row>
    <row r="145" spans="1:8" ht="89.25" x14ac:dyDescent="0.2">
      <c r="A145" t="s">
        <v>2184</v>
      </c>
      <c r="B145" t="s">
        <v>1614</v>
      </c>
      <c r="C145">
        <v>1</v>
      </c>
      <c r="D145" s="1" t="s">
        <v>1615</v>
      </c>
      <c r="E145" t="s">
        <v>1946</v>
      </c>
      <c r="F145">
        <v>1</v>
      </c>
      <c r="G145">
        <v>0</v>
      </c>
      <c r="H145" s="2" t="s">
        <v>1616</v>
      </c>
    </row>
    <row r="146" spans="1:8" ht="89.25" x14ac:dyDescent="0.2">
      <c r="A146" t="s">
        <v>2184</v>
      </c>
      <c r="B146" t="s">
        <v>1617</v>
      </c>
      <c r="C146">
        <v>1</v>
      </c>
      <c r="D146" s="1" t="s">
        <v>2007</v>
      </c>
      <c r="E146" t="s">
        <v>1946</v>
      </c>
      <c r="F146">
        <v>1</v>
      </c>
      <c r="G146">
        <v>0</v>
      </c>
      <c r="H146" s="2" t="s">
        <v>2008</v>
      </c>
    </row>
    <row r="147" spans="1:8" x14ac:dyDescent="0.2">
      <c r="A147" t="s">
        <v>2184</v>
      </c>
      <c r="B147" t="s">
        <v>2009</v>
      </c>
      <c r="C147">
        <v>2</v>
      </c>
      <c r="D147" s="1" t="s">
        <v>2010</v>
      </c>
      <c r="E147" t="s">
        <v>2187</v>
      </c>
      <c r="F147">
        <v>0</v>
      </c>
      <c r="G147">
        <v>0</v>
      </c>
    </row>
    <row r="148" spans="1:8" ht="89.25" x14ac:dyDescent="0.2">
      <c r="A148" t="s">
        <v>2184</v>
      </c>
      <c r="B148" t="s">
        <v>2051</v>
      </c>
      <c r="C148">
        <v>1</v>
      </c>
      <c r="D148" s="1" t="s">
        <v>2052</v>
      </c>
      <c r="E148" t="s">
        <v>1946</v>
      </c>
      <c r="F148">
        <v>1</v>
      </c>
      <c r="G148">
        <v>16</v>
      </c>
      <c r="H148" s="2" t="s">
        <v>2053</v>
      </c>
    </row>
    <row r="149" spans="1:8" ht="89.25" x14ac:dyDescent="0.2">
      <c r="A149" t="s">
        <v>2184</v>
      </c>
      <c r="B149" t="s">
        <v>2054</v>
      </c>
      <c r="C149">
        <v>1</v>
      </c>
      <c r="D149" s="1" t="s">
        <v>2055</v>
      </c>
      <c r="E149" t="s">
        <v>1946</v>
      </c>
      <c r="F149">
        <v>1</v>
      </c>
      <c r="G149">
        <v>0</v>
      </c>
      <c r="H149" s="2" t="s">
        <v>2056</v>
      </c>
    </row>
    <row r="150" spans="1:8" x14ac:dyDescent="0.2">
      <c r="A150" t="s">
        <v>2184</v>
      </c>
      <c r="B150" t="s">
        <v>2057</v>
      </c>
      <c r="C150">
        <v>2</v>
      </c>
      <c r="D150" s="1" t="s">
        <v>2058</v>
      </c>
      <c r="E150" t="s">
        <v>2187</v>
      </c>
      <c r="F150">
        <v>0</v>
      </c>
      <c r="G150">
        <v>0</v>
      </c>
    </row>
    <row r="151" spans="1:8" ht="89.25" x14ac:dyDescent="0.2">
      <c r="A151" t="s">
        <v>2184</v>
      </c>
      <c r="B151" t="s">
        <v>2059</v>
      </c>
      <c r="C151">
        <v>1</v>
      </c>
      <c r="D151" s="1" t="s">
        <v>2060</v>
      </c>
      <c r="E151" t="s">
        <v>1946</v>
      </c>
      <c r="F151">
        <v>1</v>
      </c>
      <c r="G151">
        <v>20</v>
      </c>
      <c r="H151" s="2" t="s">
        <v>2061</v>
      </c>
    </row>
    <row r="152" spans="1:8" ht="89.25" x14ac:dyDescent="0.2">
      <c r="A152" t="s">
        <v>2184</v>
      </c>
      <c r="B152" t="s">
        <v>2062</v>
      </c>
      <c r="C152">
        <v>1</v>
      </c>
      <c r="D152" s="1" t="s">
        <v>2063</v>
      </c>
      <c r="E152" t="s">
        <v>1946</v>
      </c>
      <c r="F152">
        <v>1</v>
      </c>
      <c r="G152">
        <v>0</v>
      </c>
      <c r="H152" s="2" t="s">
        <v>2553</v>
      </c>
    </row>
    <row r="153" spans="1:8" x14ac:dyDescent="0.2">
      <c r="A153" t="s">
        <v>2184</v>
      </c>
      <c r="B153" t="s">
        <v>2554</v>
      </c>
      <c r="C153">
        <v>2</v>
      </c>
      <c r="D153" s="1" t="s">
        <v>2555</v>
      </c>
      <c r="E153" t="s">
        <v>2187</v>
      </c>
      <c r="F153">
        <v>0</v>
      </c>
      <c r="G153">
        <v>0</v>
      </c>
    </row>
    <row r="154" spans="1:8" ht="102" x14ac:dyDescent="0.2">
      <c r="A154" t="s">
        <v>2184</v>
      </c>
      <c r="B154" t="s">
        <v>2556</v>
      </c>
      <c r="C154">
        <v>1</v>
      </c>
      <c r="D154" s="1" t="s">
        <v>2557</v>
      </c>
      <c r="E154" t="s">
        <v>2149</v>
      </c>
      <c r="F154">
        <v>1</v>
      </c>
      <c r="G154">
        <v>4</v>
      </c>
      <c r="H154" s="2" t="s">
        <v>2558</v>
      </c>
    </row>
    <row r="155" spans="1:8" ht="102" x14ac:dyDescent="0.2">
      <c r="A155" t="s">
        <v>2184</v>
      </c>
      <c r="B155" t="s">
        <v>2559</v>
      </c>
      <c r="C155">
        <v>1</v>
      </c>
      <c r="D155" s="1" t="s">
        <v>2560</v>
      </c>
      <c r="E155" t="s">
        <v>2149</v>
      </c>
      <c r="F155">
        <v>1</v>
      </c>
      <c r="G155">
        <v>7</v>
      </c>
      <c r="H155" s="2" t="s">
        <v>2066</v>
      </c>
    </row>
    <row r="156" spans="1:8" x14ac:dyDescent="0.2">
      <c r="A156" t="s">
        <v>2184</v>
      </c>
      <c r="B156" t="s">
        <v>2067</v>
      </c>
      <c r="C156">
        <v>2</v>
      </c>
      <c r="D156" s="1" t="s">
        <v>2068</v>
      </c>
      <c r="E156" t="s">
        <v>2187</v>
      </c>
      <c r="F156">
        <v>0</v>
      </c>
      <c r="G156">
        <v>0</v>
      </c>
    </row>
    <row r="157" spans="1:8" ht="102" x14ac:dyDescent="0.2">
      <c r="A157" t="s">
        <v>2184</v>
      </c>
      <c r="B157" t="s">
        <v>2069</v>
      </c>
      <c r="C157">
        <v>1</v>
      </c>
      <c r="D157" s="1" t="s">
        <v>2070</v>
      </c>
      <c r="E157" t="s">
        <v>2204</v>
      </c>
      <c r="F157">
        <v>1</v>
      </c>
      <c r="G157">
        <v>0</v>
      </c>
      <c r="H157" s="2" t="s">
        <v>2071</v>
      </c>
    </row>
    <row r="158" spans="1:8" ht="102" x14ac:dyDescent="0.2">
      <c r="A158" t="s">
        <v>2184</v>
      </c>
      <c r="B158" t="s">
        <v>2072</v>
      </c>
      <c r="C158">
        <v>1</v>
      </c>
      <c r="D158" s="1" t="s">
        <v>2073</v>
      </c>
      <c r="E158" t="s">
        <v>2204</v>
      </c>
      <c r="F158">
        <v>1</v>
      </c>
      <c r="G158">
        <v>0</v>
      </c>
      <c r="H158" s="2" t="s">
        <v>2074</v>
      </c>
    </row>
    <row r="159" spans="1:8" x14ac:dyDescent="0.2">
      <c r="A159" t="s">
        <v>2184</v>
      </c>
      <c r="B159" t="s">
        <v>2075</v>
      </c>
      <c r="C159">
        <v>2</v>
      </c>
      <c r="D159" s="1" t="s">
        <v>2076</v>
      </c>
      <c r="E159" t="s">
        <v>2187</v>
      </c>
      <c r="F159">
        <v>0</v>
      </c>
      <c r="G159">
        <v>0</v>
      </c>
    </row>
    <row r="160" spans="1:8" ht="102" x14ac:dyDescent="0.2">
      <c r="A160" t="s">
        <v>2184</v>
      </c>
      <c r="B160" t="s">
        <v>2077</v>
      </c>
      <c r="C160">
        <v>1</v>
      </c>
      <c r="D160" s="1" t="s">
        <v>2078</v>
      </c>
      <c r="E160" t="s">
        <v>2204</v>
      </c>
      <c r="F160">
        <v>1</v>
      </c>
      <c r="G160">
        <v>0</v>
      </c>
      <c r="H160" s="2" t="s">
        <v>2079</v>
      </c>
    </row>
    <row r="161" spans="1:8" ht="102" x14ac:dyDescent="0.2">
      <c r="A161" t="s">
        <v>2184</v>
      </c>
      <c r="B161" t="s">
        <v>2080</v>
      </c>
      <c r="C161">
        <v>1</v>
      </c>
      <c r="D161" s="1" t="s">
        <v>2081</v>
      </c>
      <c r="E161" t="s">
        <v>2204</v>
      </c>
      <c r="F161">
        <v>1</v>
      </c>
      <c r="G161">
        <v>0</v>
      </c>
      <c r="H161" s="2" t="s">
        <v>1896</v>
      </c>
    </row>
    <row r="162" spans="1:8" x14ac:dyDescent="0.2">
      <c r="A162" t="s">
        <v>2184</v>
      </c>
      <c r="B162" t="s">
        <v>1897</v>
      </c>
      <c r="C162">
        <v>2</v>
      </c>
      <c r="D162" s="1" t="s">
        <v>1898</v>
      </c>
      <c r="E162" t="s">
        <v>2187</v>
      </c>
      <c r="F162">
        <v>0</v>
      </c>
      <c r="G162">
        <v>0</v>
      </c>
    </row>
    <row r="163" spans="1:8" ht="102" x14ac:dyDescent="0.2">
      <c r="A163" t="s">
        <v>2184</v>
      </c>
      <c r="B163" t="s">
        <v>1899</v>
      </c>
      <c r="C163">
        <v>1</v>
      </c>
      <c r="D163" s="1" t="s">
        <v>1900</v>
      </c>
      <c r="E163" t="s">
        <v>2204</v>
      </c>
      <c r="F163">
        <v>1</v>
      </c>
      <c r="G163">
        <v>0</v>
      </c>
      <c r="H163" s="2" t="s">
        <v>1901</v>
      </c>
    </row>
    <row r="164" spans="1:8" ht="102" x14ac:dyDescent="0.2">
      <c r="A164" t="s">
        <v>2184</v>
      </c>
      <c r="B164" t="s">
        <v>1902</v>
      </c>
      <c r="C164">
        <v>1</v>
      </c>
      <c r="D164" s="1" t="s">
        <v>1903</v>
      </c>
      <c r="E164" t="s">
        <v>2204</v>
      </c>
      <c r="F164">
        <v>1</v>
      </c>
      <c r="G164">
        <v>0</v>
      </c>
      <c r="H164" s="2" t="s">
        <v>1904</v>
      </c>
    </row>
    <row r="165" spans="1:8" x14ac:dyDescent="0.2">
      <c r="A165" t="s">
        <v>2184</v>
      </c>
      <c r="B165" t="s">
        <v>1905</v>
      </c>
      <c r="C165">
        <v>2</v>
      </c>
      <c r="D165" s="1" t="s">
        <v>1906</v>
      </c>
      <c r="E165" t="s">
        <v>2187</v>
      </c>
      <c r="F165">
        <v>0</v>
      </c>
      <c r="G165">
        <v>0</v>
      </c>
    </row>
    <row r="166" spans="1:8" ht="25.5" x14ac:dyDescent="0.2">
      <c r="A166" t="s">
        <v>2184</v>
      </c>
      <c r="B166" t="s">
        <v>1907</v>
      </c>
      <c r="C166">
        <v>2</v>
      </c>
      <c r="D166" s="1" t="s">
        <v>1908</v>
      </c>
      <c r="E166" t="s">
        <v>2187</v>
      </c>
      <c r="F166">
        <v>0</v>
      </c>
      <c r="G166">
        <v>0</v>
      </c>
    </row>
    <row r="167" spans="1:8" x14ac:dyDescent="0.2">
      <c r="A167" t="s">
        <v>2184</v>
      </c>
      <c r="B167" t="s">
        <v>1909</v>
      </c>
      <c r="C167">
        <v>2</v>
      </c>
      <c r="D167" s="1" t="s">
        <v>1910</v>
      </c>
      <c r="E167" t="s">
        <v>2187</v>
      </c>
      <c r="F167">
        <v>0</v>
      </c>
      <c r="G167">
        <v>0</v>
      </c>
    </row>
    <row r="168" spans="1:8" ht="127.5" x14ac:dyDescent="0.2">
      <c r="A168" t="s">
        <v>2184</v>
      </c>
      <c r="B168" t="s">
        <v>1911</v>
      </c>
      <c r="C168">
        <v>1</v>
      </c>
      <c r="D168" s="1" t="s">
        <v>1912</v>
      </c>
      <c r="E168" t="s">
        <v>1946</v>
      </c>
      <c r="F168">
        <v>1</v>
      </c>
      <c r="G168">
        <v>10</v>
      </c>
      <c r="H168" s="2" t="s">
        <v>1913</v>
      </c>
    </row>
    <row r="169" spans="1:8" ht="114.75" x14ac:dyDescent="0.2">
      <c r="A169" t="s">
        <v>2184</v>
      </c>
      <c r="B169" t="s">
        <v>1914</v>
      </c>
      <c r="C169">
        <v>1</v>
      </c>
      <c r="D169" s="1" t="s">
        <v>1915</v>
      </c>
      <c r="E169" t="s">
        <v>1946</v>
      </c>
      <c r="F169">
        <v>1</v>
      </c>
      <c r="G169">
        <v>22</v>
      </c>
      <c r="H169" s="2" t="s">
        <v>1500</v>
      </c>
    </row>
    <row r="170" spans="1:8" x14ac:dyDescent="0.2">
      <c r="A170" t="s">
        <v>2184</v>
      </c>
      <c r="B170" t="s">
        <v>1501</v>
      </c>
      <c r="C170">
        <v>2</v>
      </c>
      <c r="D170" s="1" t="s">
        <v>1502</v>
      </c>
      <c r="E170" t="s">
        <v>2187</v>
      </c>
      <c r="F170">
        <v>0</v>
      </c>
      <c r="G170">
        <v>0</v>
      </c>
    </row>
    <row r="171" spans="1:8" ht="140.25" x14ac:dyDescent="0.2">
      <c r="A171" t="s">
        <v>2184</v>
      </c>
      <c r="B171" t="s">
        <v>1503</v>
      </c>
      <c r="C171">
        <v>1</v>
      </c>
      <c r="D171" s="1" t="s">
        <v>1504</v>
      </c>
      <c r="E171" t="s">
        <v>1946</v>
      </c>
      <c r="F171">
        <v>1</v>
      </c>
      <c r="G171">
        <v>20</v>
      </c>
      <c r="H171" s="2" t="s">
        <v>1505</v>
      </c>
    </row>
    <row r="172" spans="1:8" ht="51" x14ac:dyDescent="0.2">
      <c r="A172" t="s">
        <v>2184</v>
      </c>
      <c r="B172" t="s">
        <v>1506</v>
      </c>
      <c r="C172">
        <v>1</v>
      </c>
      <c r="D172" s="1" t="s">
        <v>1507</v>
      </c>
      <c r="E172" t="s">
        <v>1946</v>
      </c>
      <c r="F172">
        <v>1</v>
      </c>
      <c r="G172">
        <v>0</v>
      </c>
      <c r="H172" s="1" t="s">
        <v>1508</v>
      </c>
    </row>
    <row r="173" spans="1:8" ht="51" x14ac:dyDescent="0.2">
      <c r="A173" t="s">
        <v>2184</v>
      </c>
      <c r="B173" t="s">
        <v>1509</v>
      </c>
      <c r="C173">
        <v>1</v>
      </c>
      <c r="D173" s="1" t="s">
        <v>1510</v>
      </c>
      <c r="E173" t="s">
        <v>1946</v>
      </c>
      <c r="F173">
        <v>1</v>
      </c>
      <c r="G173">
        <v>0</v>
      </c>
      <c r="H173" s="1" t="s">
        <v>1511</v>
      </c>
    </row>
    <row r="174" spans="1:8" x14ac:dyDescent="0.2">
      <c r="A174" t="s">
        <v>2184</v>
      </c>
      <c r="B174" t="s">
        <v>1512</v>
      </c>
      <c r="C174">
        <v>2</v>
      </c>
      <c r="D174" s="1" t="s">
        <v>1513</v>
      </c>
      <c r="E174" t="s">
        <v>2187</v>
      </c>
      <c r="F174">
        <v>0</v>
      </c>
      <c r="G174">
        <v>0</v>
      </c>
    </row>
    <row r="175" spans="1:8" ht="76.5" x14ac:dyDescent="0.2">
      <c r="A175" t="s">
        <v>2184</v>
      </c>
      <c r="B175" t="s">
        <v>1514</v>
      </c>
      <c r="C175">
        <v>1</v>
      </c>
      <c r="D175" s="1" t="s">
        <v>1513</v>
      </c>
      <c r="E175" t="s">
        <v>1946</v>
      </c>
      <c r="F175">
        <v>1</v>
      </c>
      <c r="G175">
        <v>0</v>
      </c>
      <c r="H175" s="2" t="s">
        <v>1515</v>
      </c>
    </row>
    <row r="176" spans="1:8" x14ac:dyDescent="0.2">
      <c r="A176" t="s">
        <v>2184</v>
      </c>
      <c r="B176" t="s">
        <v>1516</v>
      </c>
      <c r="C176">
        <v>2</v>
      </c>
      <c r="D176" s="1" t="s">
        <v>1517</v>
      </c>
      <c r="E176" t="s">
        <v>2187</v>
      </c>
      <c r="F176">
        <v>0</v>
      </c>
      <c r="G176">
        <v>0</v>
      </c>
    </row>
    <row r="177" spans="1:8" ht="25.5" x14ac:dyDescent="0.2">
      <c r="A177" t="s">
        <v>2184</v>
      </c>
      <c r="B177" t="s">
        <v>1518</v>
      </c>
      <c r="C177">
        <v>2</v>
      </c>
      <c r="D177" s="1" t="s">
        <v>1618</v>
      </c>
      <c r="E177" t="s">
        <v>2187</v>
      </c>
      <c r="F177">
        <v>0</v>
      </c>
      <c r="G177">
        <v>0</v>
      </c>
    </row>
    <row r="178" spans="1:8" ht="89.25" x14ac:dyDescent="0.2">
      <c r="A178" t="s">
        <v>2184</v>
      </c>
      <c r="B178" t="s">
        <v>1619</v>
      </c>
      <c r="C178">
        <v>1</v>
      </c>
      <c r="D178" s="1" t="s">
        <v>1620</v>
      </c>
      <c r="E178" t="s">
        <v>1946</v>
      </c>
      <c r="F178">
        <v>1</v>
      </c>
      <c r="G178">
        <v>0</v>
      </c>
      <c r="H178" s="2" t="s">
        <v>1621</v>
      </c>
    </row>
    <row r="179" spans="1:8" ht="25.5" x14ac:dyDescent="0.2">
      <c r="A179" t="s">
        <v>2184</v>
      </c>
      <c r="B179" t="s">
        <v>1622</v>
      </c>
      <c r="C179">
        <v>2</v>
      </c>
      <c r="D179" s="1" t="s">
        <v>1623</v>
      </c>
      <c r="E179" t="s">
        <v>2187</v>
      </c>
      <c r="F179">
        <v>0</v>
      </c>
      <c r="G179">
        <v>0</v>
      </c>
    </row>
    <row r="180" spans="1:8" ht="114.75" x14ac:dyDescent="0.2">
      <c r="A180" t="s">
        <v>2184</v>
      </c>
      <c r="B180" t="s">
        <v>1624</v>
      </c>
      <c r="C180">
        <v>1</v>
      </c>
      <c r="D180" s="1" t="s">
        <v>1625</v>
      </c>
      <c r="E180" t="s">
        <v>1946</v>
      </c>
      <c r="F180">
        <v>1</v>
      </c>
      <c r="G180">
        <v>0</v>
      </c>
      <c r="H180" s="2" t="s">
        <v>2088</v>
      </c>
    </row>
    <row r="181" spans="1:8" ht="25.5" x14ac:dyDescent="0.2">
      <c r="A181" t="s">
        <v>2184</v>
      </c>
      <c r="B181" t="s">
        <v>2089</v>
      </c>
      <c r="C181">
        <v>2</v>
      </c>
      <c r="D181" s="1" t="s">
        <v>2090</v>
      </c>
      <c r="E181" t="s">
        <v>2187</v>
      </c>
      <c r="F181">
        <v>0</v>
      </c>
      <c r="G181">
        <v>0</v>
      </c>
    </row>
    <row r="182" spans="1:8" ht="89.25" x14ac:dyDescent="0.2">
      <c r="A182" t="s">
        <v>2184</v>
      </c>
      <c r="B182" t="s">
        <v>2091</v>
      </c>
      <c r="C182">
        <v>1</v>
      </c>
      <c r="D182" s="1" t="s">
        <v>2092</v>
      </c>
      <c r="E182" t="s">
        <v>1946</v>
      </c>
      <c r="F182">
        <v>1</v>
      </c>
      <c r="G182">
        <v>0</v>
      </c>
      <c r="H182" s="2" t="s">
        <v>2093</v>
      </c>
    </row>
    <row r="183" spans="1:8" x14ac:dyDescent="0.2">
      <c r="A183" t="s">
        <v>2184</v>
      </c>
      <c r="B183" t="s">
        <v>2094</v>
      </c>
      <c r="C183">
        <v>2</v>
      </c>
      <c r="D183" s="1" t="s">
        <v>2095</v>
      </c>
      <c r="E183" t="s">
        <v>2187</v>
      </c>
      <c r="F183">
        <v>0</v>
      </c>
      <c r="G183">
        <v>0</v>
      </c>
    </row>
    <row r="184" spans="1:8" x14ac:dyDescent="0.2">
      <c r="A184" t="s">
        <v>2184</v>
      </c>
      <c r="B184" t="s">
        <v>2096</v>
      </c>
      <c r="C184">
        <v>2</v>
      </c>
      <c r="D184" s="1" t="s">
        <v>2097</v>
      </c>
      <c r="E184" t="s">
        <v>2187</v>
      </c>
      <c r="F184">
        <v>0</v>
      </c>
      <c r="G184">
        <v>0</v>
      </c>
    </row>
    <row r="185" spans="1:8" ht="89.25" x14ac:dyDescent="0.2">
      <c r="A185" t="s">
        <v>2184</v>
      </c>
      <c r="B185" t="s">
        <v>2098</v>
      </c>
      <c r="C185">
        <v>1</v>
      </c>
      <c r="D185" s="1" t="s">
        <v>2099</v>
      </c>
      <c r="E185" t="s">
        <v>1946</v>
      </c>
      <c r="F185">
        <v>1</v>
      </c>
      <c r="G185">
        <v>0</v>
      </c>
      <c r="H185" s="2" t="s">
        <v>2346</v>
      </c>
    </row>
    <row r="186" spans="1:8" x14ac:dyDescent="0.2">
      <c r="A186" t="s">
        <v>2184</v>
      </c>
      <c r="B186" t="s">
        <v>2347</v>
      </c>
      <c r="C186">
        <v>2</v>
      </c>
      <c r="D186" s="1" t="s">
        <v>2348</v>
      </c>
      <c r="E186" t="s">
        <v>2187</v>
      </c>
      <c r="F186">
        <v>0</v>
      </c>
      <c r="G186">
        <v>0</v>
      </c>
    </row>
    <row r="187" spans="1:8" ht="63.75" x14ac:dyDescent="0.2">
      <c r="A187" t="s">
        <v>2184</v>
      </c>
      <c r="B187" t="s">
        <v>2349</v>
      </c>
      <c r="C187">
        <v>1</v>
      </c>
      <c r="D187" s="1" t="s">
        <v>2350</v>
      </c>
      <c r="E187" t="s">
        <v>1946</v>
      </c>
      <c r="F187">
        <v>1</v>
      </c>
      <c r="G187">
        <v>0</v>
      </c>
      <c r="H187" s="1" t="s">
        <v>2351</v>
      </c>
    </row>
    <row r="188" spans="1:8" x14ac:dyDescent="0.2">
      <c r="A188" t="s">
        <v>2184</v>
      </c>
      <c r="B188" t="s">
        <v>2352</v>
      </c>
      <c r="C188">
        <v>2</v>
      </c>
      <c r="D188" s="1" t="s">
        <v>2353</v>
      </c>
      <c r="E188" t="s">
        <v>2187</v>
      </c>
      <c r="F188">
        <v>0</v>
      </c>
      <c r="G188">
        <v>0</v>
      </c>
    </row>
    <row r="189" spans="1:8" ht="38.25" x14ac:dyDescent="0.2">
      <c r="A189" t="s">
        <v>2184</v>
      </c>
      <c r="B189" t="s">
        <v>2354</v>
      </c>
      <c r="C189">
        <v>1</v>
      </c>
      <c r="D189" s="1" t="s">
        <v>2355</v>
      </c>
      <c r="E189" t="s">
        <v>2149</v>
      </c>
      <c r="F189">
        <v>1</v>
      </c>
      <c r="G189">
        <v>0</v>
      </c>
      <c r="H189" s="1" t="s">
        <v>2356</v>
      </c>
    </row>
    <row r="190" spans="1:8" x14ac:dyDescent="0.2">
      <c r="A190" t="s">
        <v>2184</v>
      </c>
      <c r="B190" t="s">
        <v>2357</v>
      </c>
      <c r="C190">
        <v>2</v>
      </c>
      <c r="D190" s="1" t="s">
        <v>2358</v>
      </c>
      <c r="E190" t="s">
        <v>2187</v>
      </c>
      <c r="F190">
        <v>0</v>
      </c>
      <c r="G190">
        <v>0</v>
      </c>
    </row>
    <row r="191" spans="1:8" ht="25.5" x14ac:dyDescent="0.2">
      <c r="A191" t="s">
        <v>2184</v>
      </c>
      <c r="B191" t="s">
        <v>2359</v>
      </c>
      <c r="C191">
        <v>2</v>
      </c>
      <c r="D191" s="1" t="s">
        <v>2360</v>
      </c>
      <c r="E191" t="s">
        <v>2187</v>
      </c>
      <c r="F191">
        <v>0</v>
      </c>
      <c r="G191">
        <v>0</v>
      </c>
    </row>
    <row r="192" spans="1:8" ht="51" x14ac:dyDescent="0.2">
      <c r="A192" t="s">
        <v>2184</v>
      </c>
      <c r="B192" t="s">
        <v>2361</v>
      </c>
      <c r="C192">
        <v>1</v>
      </c>
      <c r="D192" s="1" t="s">
        <v>2362</v>
      </c>
      <c r="E192" t="s">
        <v>2149</v>
      </c>
      <c r="F192">
        <v>1</v>
      </c>
      <c r="G192">
        <v>0</v>
      </c>
      <c r="H192" s="1" t="s">
        <v>2363</v>
      </c>
    </row>
    <row r="193" spans="1:8" x14ac:dyDescent="0.2">
      <c r="A193" t="s">
        <v>2184</v>
      </c>
      <c r="B193" t="s">
        <v>2364</v>
      </c>
      <c r="C193">
        <v>2</v>
      </c>
      <c r="D193" s="1" t="s">
        <v>2365</v>
      </c>
      <c r="E193" t="s">
        <v>2187</v>
      </c>
      <c r="F193">
        <v>0</v>
      </c>
      <c r="G193">
        <v>0</v>
      </c>
    </row>
    <row r="194" spans="1:8" ht="51" x14ac:dyDescent="0.2">
      <c r="A194" t="s">
        <v>2184</v>
      </c>
      <c r="B194" t="s">
        <v>2366</v>
      </c>
      <c r="C194">
        <v>1</v>
      </c>
      <c r="D194" s="1" t="s">
        <v>2367</v>
      </c>
      <c r="E194" t="s">
        <v>2149</v>
      </c>
      <c r="F194">
        <v>1</v>
      </c>
      <c r="G194">
        <v>0.15</v>
      </c>
      <c r="H194" s="1" t="s">
        <v>2368</v>
      </c>
    </row>
    <row r="195" spans="1:8" ht="25.5" x14ac:dyDescent="0.2">
      <c r="A195" t="s">
        <v>2184</v>
      </c>
      <c r="B195" t="s">
        <v>2369</v>
      </c>
      <c r="C195">
        <v>2</v>
      </c>
      <c r="D195" s="1" t="s">
        <v>2370</v>
      </c>
      <c r="E195" t="s">
        <v>2187</v>
      </c>
      <c r="F195">
        <v>0</v>
      </c>
      <c r="G195">
        <v>0</v>
      </c>
    </row>
    <row r="196" spans="1:8" ht="89.25" x14ac:dyDescent="0.2">
      <c r="A196" t="s">
        <v>2184</v>
      </c>
      <c r="B196" t="s">
        <v>2371</v>
      </c>
      <c r="C196">
        <v>1</v>
      </c>
      <c r="D196" s="1" t="s">
        <v>2372</v>
      </c>
      <c r="E196" t="s">
        <v>2149</v>
      </c>
      <c r="F196">
        <v>1</v>
      </c>
      <c r="G196">
        <v>1</v>
      </c>
      <c r="H196" s="2" t="s">
        <v>2373</v>
      </c>
    </row>
    <row r="197" spans="1:8" ht="63.75" x14ac:dyDescent="0.2">
      <c r="A197" t="s">
        <v>2184</v>
      </c>
      <c r="B197" t="s">
        <v>2374</v>
      </c>
      <c r="C197">
        <v>1</v>
      </c>
      <c r="D197" s="1" t="s">
        <v>2375</v>
      </c>
      <c r="E197" t="s">
        <v>2149</v>
      </c>
      <c r="F197">
        <v>1</v>
      </c>
      <c r="G197">
        <v>2</v>
      </c>
      <c r="H197" s="2" t="s">
        <v>2376</v>
      </c>
    </row>
    <row r="198" spans="1:8" x14ac:dyDescent="0.2">
      <c r="A198" t="s">
        <v>2184</v>
      </c>
      <c r="B198" t="s">
        <v>2377</v>
      </c>
      <c r="C198">
        <v>2</v>
      </c>
      <c r="D198" s="1" t="s">
        <v>2378</v>
      </c>
      <c r="E198" t="s">
        <v>2187</v>
      </c>
      <c r="F198">
        <v>0</v>
      </c>
      <c r="G198">
        <v>0</v>
      </c>
    </row>
    <row r="199" spans="1:8" ht="38.25" x14ac:dyDescent="0.2">
      <c r="A199" t="s">
        <v>2184</v>
      </c>
      <c r="B199" t="s">
        <v>2379</v>
      </c>
      <c r="C199">
        <v>2</v>
      </c>
      <c r="D199" s="1" t="s">
        <v>2150</v>
      </c>
      <c r="E199" t="s">
        <v>2187</v>
      </c>
      <c r="F199">
        <v>0</v>
      </c>
      <c r="G199">
        <v>0</v>
      </c>
    </row>
    <row r="200" spans="1:8" x14ac:dyDescent="0.2">
      <c r="A200" t="s">
        <v>2184</v>
      </c>
      <c r="B200" t="s">
        <v>2151</v>
      </c>
      <c r="C200">
        <v>2</v>
      </c>
      <c r="D200" s="1" t="s">
        <v>2152</v>
      </c>
      <c r="E200" t="s">
        <v>2187</v>
      </c>
      <c r="F200">
        <v>0</v>
      </c>
      <c r="G200">
        <v>0</v>
      </c>
    </row>
    <row r="201" spans="1:8" x14ac:dyDescent="0.2">
      <c r="A201" t="s">
        <v>2184</v>
      </c>
      <c r="B201" t="s">
        <v>2153</v>
      </c>
      <c r="C201">
        <v>2</v>
      </c>
      <c r="D201" s="1" t="s">
        <v>2154</v>
      </c>
      <c r="E201" t="s">
        <v>2187</v>
      </c>
      <c r="F201">
        <v>0</v>
      </c>
      <c r="G201">
        <v>0</v>
      </c>
    </row>
    <row r="202" spans="1:8" ht="102" x14ac:dyDescent="0.2">
      <c r="A202" t="s">
        <v>2184</v>
      </c>
      <c r="B202" t="s">
        <v>2155</v>
      </c>
      <c r="C202">
        <v>1</v>
      </c>
      <c r="D202" s="1" t="s">
        <v>2156</v>
      </c>
      <c r="E202" t="s">
        <v>2108</v>
      </c>
      <c r="F202">
        <v>1</v>
      </c>
      <c r="G202">
        <v>0</v>
      </c>
      <c r="H202" s="2" t="s">
        <v>2157</v>
      </c>
    </row>
    <row r="203" spans="1:8" ht="102" x14ac:dyDescent="0.2">
      <c r="A203" t="s">
        <v>2184</v>
      </c>
      <c r="B203" t="s">
        <v>2158</v>
      </c>
      <c r="C203">
        <v>1</v>
      </c>
      <c r="D203" s="1" t="s">
        <v>2159</v>
      </c>
      <c r="E203" t="s">
        <v>2108</v>
      </c>
      <c r="F203">
        <v>1</v>
      </c>
      <c r="G203">
        <v>0</v>
      </c>
      <c r="H203" s="2" t="s">
        <v>2160</v>
      </c>
    </row>
    <row r="204" spans="1:8" x14ac:dyDescent="0.2">
      <c r="A204" t="s">
        <v>2184</v>
      </c>
      <c r="B204" t="s">
        <v>2161</v>
      </c>
      <c r="C204">
        <v>2</v>
      </c>
      <c r="D204" s="1" t="s">
        <v>2162</v>
      </c>
      <c r="E204" t="s">
        <v>2187</v>
      </c>
      <c r="F204">
        <v>0</v>
      </c>
      <c r="G204">
        <v>0</v>
      </c>
    </row>
    <row r="205" spans="1:8" ht="102" x14ac:dyDescent="0.2">
      <c r="A205" t="s">
        <v>2184</v>
      </c>
      <c r="B205" t="s">
        <v>2163</v>
      </c>
      <c r="C205">
        <v>1</v>
      </c>
      <c r="D205" s="1" t="s">
        <v>2164</v>
      </c>
      <c r="E205" t="s">
        <v>2108</v>
      </c>
      <c r="F205">
        <v>1</v>
      </c>
      <c r="G205">
        <v>450</v>
      </c>
      <c r="H205" s="2" t="s">
        <v>2165</v>
      </c>
    </row>
    <row r="206" spans="1:8" ht="102" x14ac:dyDescent="0.2">
      <c r="A206" t="s">
        <v>2184</v>
      </c>
      <c r="B206" t="s">
        <v>2166</v>
      </c>
      <c r="C206">
        <v>1</v>
      </c>
      <c r="D206" s="1" t="s">
        <v>2167</v>
      </c>
      <c r="E206" t="s">
        <v>2108</v>
      </c>
      <c r="F206">
        <v>1</v>
      </c>
      <c r="G206">
        <v>0</v>
      </c>
      <c r="H206" s="2" t="s">
        <v>2168</v>
      </c>
    </row>
    <row r="207" spans="1:8" x14ac:dyDescent="0.2">
      <c r="A207" t="s">
        <v>2184</v>
      </c>
      <c r="B207" t="s">
        <v>2169</v>
      </c>
      <c r="C207">
        <v>2</v>
      </c>
      <c r="D207" s="1" t="s">
        <v>2170</v>
      </c>
      <c r="E207" t="s">
        <v>2187</v>
      </c>
      <c r="F207">
        <v>0</v>
      </c>
      <c r="G207">
        <v>0</v>
      </c>
    </row>
    <row r="208" spans="1:8" ht="191.25" x14ac:dyDescent="0.2">
      <c r="A208" t="s">
        <v>2184</v>
      </c>
      <c r="B208" t="s">
        <v>2171</v>
      </c>
      <c r="C208">
        <v>1</v>
      </c>
      <c r="D208" s="1" t="s">
        <v>2172</v>
      </c>
      <c r="E208" t="s">
        <v>2204</v>
      </c>
      <c r="F208">
        <v>1</v>
      </c>
      <c r="G208">
        <v>0</v>
      </c>
      <c r="H208" s="2" t="s">
        <v>2173</v>
      </c>
    </row>
    <row r="209" spans="1:8" ht="191.25" x14ac:dyDescent="0.2">
      <c r="A209" t="s">
        <v>2184</v>
      </c>
      <c r="B209" t="s">
        <v>2174</v>
      </c>
      <c r="C209">
        <v>1</v>
      </c>
      <c r="D209" s="1" t="s">
        <v>2175</v>
      </c>
      <c r="E209" t="s">
        <v>2204</v>
      </c>
      <c r="F209">
        <v>1</v>
      </c>
      <c r="G209">
        <v>30</v>
      </c>
      <c r="H209" s="2" t="s">
        <v>2498</v>
      </c>
    </row>
    <row r="210" spans="1:8" ht="191.25" x14ac:dyDescent="0.2">
      <c r="A210" t="s">
        <v>2184</v>
      </c>
      <c r="B210" t="s">
        <v>2499</v>
      </c>
      <c r="C210">
        <v>1</v>
      </c>
      <c r="D210" s="1" t="s">
        <v>2500</v>
      </c>
      <c r="E210" t="s">
        <v>2204</v>
      </c>
      <c r="F210">
        <v>1</v>
      </c>
      <c r="G210">
        <v>40</v>
      </c>
      <c r="H210" s="2" t="s">
        <v>2501</v>
      </c>
    </row>
    <row r="211" spans="1:8" ht="204" x14ac:dyDescent="0.2">
      <c r="A211" t="s">
        <v>2184</v>
      </c>
      <c r="B211" t="s">
        <v>2502</v>
      </c>
      <c r="C211">
        <v>1</v>
      </c>
      <c r="D211" s="1" t="s">
        <v>2503</v>
      </c>
      <c r="E211" t="s">
        <v>2204</v>
      </c>
      <c r="F211">
        <v>1</v>
      </c>
      <c r="G211">
        <v>56</v>
      </c>
      <c r="H211" s="2" t="s">
        <v>2504</v>
      </c>
    </row>
    <row r="212" spans="1:8" ht="76.5" x14ac:dyDescent="0.2">
      <c r="A212" t="s">
        <v>2184</v>
      </c>
      <c r="B212" t="s">
        <v>2505</v>
      </c>
      <c r="C212">
        <v>1</v>
      </c>
      <c r="D212" s="1" t="s">
        <v>2506</v>
      </c>
      <c r="E212" t="s">
        <v>2204</v>
      </c>
      <c r="F212">
        <v>1</v>
      </c>
      <c r="G212">
        <v>16</v>
      </c>
      <c r="H212" s="2" t="s">
        <v>2507</v>
      </c>
    </row>
    <row r="213" spans="1:8" ht="76.5" x14ac:dyDescent="0.2">
      <c r="A213" t="s">
        <v>2184</v>
      </c>
      <c r="B213" t="s">
        <v>2508</v>
      </c>
      <c r="C213">
        <v>1</v>
      </c>
      <c r="D213" s="1" t="s">
        <v>2509</v>
      </c>
      <c r="E213" t="s">
        <v>2204</v>
      </c>
      <c r="F213">
        <v>1</v>
      </c>
      <c r="G213">
        <v>0</v>
      </c>
      <c r="H213" s="2" t="s">
        <v>2510</v>
      </c>
    </row>
    <row r="214" spans="1:8" ht="25.5" x14ac:dyDescent="0.2">
      <c r="A214" t="s">
        <v>2184</v>
      </c>
      <c r="B214" t="s">
        <v>2511</v>
      </c>
      <c r="C214">
        <v>2</v>
      </c>
      <c r="D214" s="1" t="s">
        <v>2512</v>
      </c>
      <c r="E214" t="s">
        <v>2187</v>
      </c>
      <c r="F214">
        <v>0</v>
      </c>
      <c r="G214">
        <v>0</v>
      </c>
    </row>
    <row r="215" spans="1:8" ht="153" x14ac:dyDescent="0.2">
      <c r="A215" t="s">
        <v>2184</v>
      </c>
      <c r="B215" t="s">
        <v>2513</v>
      </c>
      <c r="C215">
        <v>1</v>
      </c>
      <c r="D215" s="1" t="s">
        <v>2514</v>
      </c>
      <c r="E215" t="s">
        <v>2108</v>
      </c>
      <c r="F215">
        <v>1</v>
      </c>
      <c r="G215">
        <v>0</v>
      </c>
      <c r="H215" s="2" t="s">
        <v>2030</v>
      </c>
    </row>
    <row r="216" spans="1:8" ht="153" x14ac:dyDescent="0.2">
      <c r="A216" t="s">
        <v>2184</v>
      </c>
      <c r="B216" t="s">
        <v>2031</v>
      </c>
      <c r="C216">
        <v>1</v>
      </c>
      <c r="D216" s="1" t="s">
        <v>2032</v>
      </c>
      <c r="E216" t="s">
        <v>2108</v>
      </c>
      <c r="F216">
        <v>1</v>
      </c>
      <c r="G216">
        <v>0</v>
      </c>
      <c r="H216" s="2" t="s">
        <v>2033</v>
      </c>
    </row>
    <row r="217" spans="1:8" ht="76.5" x14ac:dyDescent="0.2">
      <c r="A217" t="s">
        <v>2184</v>
      </c>
      <c r="B217" t="s">
        <v>2034</v>
      </c>
      <c r="C217">
        <v>1</v>
      </c>
      <c r="D217" s="1" t="s">
        <v>2035</v>
      </c>
      <c r="E217" t="s">
        <v>2108</v>
      </c>
      <c r="F217">
        <v>1</v>
      </c>
      <c r="G217">
        <v>0</v>
      </c>
      <c r="H217" s="2" t="s">
        <v>2036</v>
      </c>
    </row>
    <row r="218" spans="1:8" ht="165.75" x14ac:dyDescent="0.2">
      <c r="A218" t="s">
        <v>2184</v>
      </c>
      <c r="B218" t="s">
        <v>2037</v>
      </c>
      <c r="C218">
        <v>1</v>
      </c>
      <c r="D218" s="1" t="s">
        <v>2038</v>
      </c>
      <c r="E218" t="s">
        <v>2108</v>
      </c>
      <c r="F218">
        <v>1</v>
      </c>
      <c r="G218">
        <v>200</v>
      </c>
      <c r="H218" s="2" t="s">
        <v>2039</v>
      </c>
    </row>
    <row r="219" spans="1:8" ht="165.75" x14ac:dyDescent="0.2">
      <c r="A219" t="s">
        <v>2184</v>
      </c>
      <c r="B219" t="s">
        <v>2040</v>
      </c>
      <c r="C219">
        <v>1</v>
      </c>
      <c r="D219" s="1" t="s">
        <v>2041</v>
      </c>
      <c r="E219" t="s">
        <v>2108</v>
      </c>
      <c r="F219">
        <v>1</v>
      </c>
      <c r="G219">
        <v>0</v>
      </c>
      <c r="H219" s="2" t="s">
        <v>2042</v>
      </c>
    </row>
    <row r="220" spans="1:8" ht="140.25" x14ac:dyDescent="0.2">
      <c r="A220" t="s">
        <v>2184</v>
      </c>
      <c r="B220" t="s">
        <v>2043</v>
      </c>
      <c r="C220">
        <v>1</v>
      </c>
      <c r="D220" s="1" t="s">
        <v>2044</v>
      </c>
      <c r="E220" t="s">
        <v>2108</v>
      </c>
      <c r="F220">
        <v>1</v>
      </c>
      <c r="G220">
        <v>150</v>
      </c>
      <c r="H220" s="2" t="s">
        <v>1249</v>
      </c>
    </row>
    <row r="221" spans="1:8" ht="178.5" x14ac:dyDescent="0.2">
      <c r="A221" t="s">
        <v>2184</v>
      </c>
      <c r="B221" t="s">
        <v>1250</v>
      </c>
      <c r="C221">
        <v>1</v>
      </c>
      <c r="D221" s="1" t="s">
        <v>1251</v>
      </c>
      <c r="E221" t="s">
        <v>2108</v>
      </c>
      <c r="F221">
        <v>1</v>
      </c>
      <c r="G221">
        <v>0</v>
      </c>
      <c r="H221" s="2" t="s">
        <v>1252</v>
      </c>
    </row>
    <row r="222" spans="1:8" ht="114.75" x14ac:dyDescent="0.2">
      <c r="A222" t="s">
        <v>2184</v>
      </c>
      <c r="B222" t="s">
        <v>1253</v>
      </c>
      <c r="C222">
        <v>1</v>
      </c>
      <c r="D222" s="1" t="s">
        <v>1254</v>
      </c>
      <c r="E222" t="s">
        <v>2108</v>
      </c>
      <c r="F222">
        <v>1</v>
      </c>
      <c r="G222">
        <v>0</v>
      </c>
      <c r="H222" s="2" t="s">
        <v>2193</v>
      </c>
    </row>
    <row r="223" spans="1:8" ht="114.75" x14ac:dyDescent="0.2">
      <c r="A223" t="s">
        <v>2184</v>
      </c>
      <c r="B223" t="s">
        <v>2194</v>
      </c>
      <c r="C223">
        <v>1</v>
      </c>
      <c r="D223" s="1" t="s">
        <v>2195</v>
      </c>
      <c r="E223" t="s">
        <v>2108</v>
      </c>
      <c r="F223">
        <v>1</v>
      </c>
      <c r="G223">
        <v>250</v>
      </c>
      <c r="H223" s="2" t="s">
        <v>1723</v>
      </c>
    </row>
    <row r="224" spans="1:8" ht="25.5" x14ac:dyDescent="0.2">
      <c r="A224" t="s">
        <v>2184</v>
      </c>
      <c r="B224" t="s">
        <v>1724</v>
      </c>
      <c r="C224">
        <v>2</v>
      </c>
      <c r="D224" s="1" t="s">
        <v>1725</v>
      </c>
      <c r="E224" t="s">
        <v>2187</v>
      </c>
      <c r="F224">
        <v>0</v>
      </c>
      <c r="G224">
        <v>0</v>
      </c>
    </row>
    <row r="225" spans="1:8" ht="153" x14ac:dyDescent="0.2">
      <c r="A225" t="s">
        <v>2184</v>
      </c>
      <c r="B225" t="s">
        <v>1726</v>
      </c>
      <c r="C225">
        <v>1</v>
      </c>
      <c r="D225" s="1" t="s">
        <v>1727</v>
      </c>
      <c r="E225" t="s">
        <v>2108</v>
      </c>
      <c r="F225">
        <v>1</v>
      </c>
      <c r="G225">
        <v>1500</v>
      </c>
      <c r="H225" s="2" t="s">
        <v>1728</v>
      </c>
    </row>
    <row r="226" spans="1:8" x14ac:dyDescent="0.2">
      <c r="A226" t="s">
        <v>2184</v>
      </c>
      <c r="B226" t="s">
        <v>1729</v>
      </c>
      <c r="C226">
        <v>2</v>
      </c>
      <c r="D226" s="1" t="s">
        <v>1730</v>
      </c>
      <c r="E226" t="s">
        <v>2187</v>
      </c>
      <c r="F226">
        <v>0</v>
      </c>
      <c r="G226">
        <v>0</v>
      </c>
    </row>
    <row r="227" spans="1:8" ht="140.25" x14ac:dyDescent="0.2">
      <c r="A227" t="s">
        <v>2184</v>
      </c>
      <c r="B227" t="s">
        <v>1731</v>
      </c>
      <c r="C227">
        <v>1</v>
      </c>
      <c r="D227" s="1" t="s">
        <v>1732</v>
      </c>
      <c r="E227" t="s">
        <v>2192</v>
      </c>
      <c r="F227">
        <v>1</v>
      </c>
      <c r="G227">
        <v>180</v>
      </c>
      <c r="H227" s="2" t="s">
        <v>1733</v>
      </c>
    </row>
    <row r="228" spans="1:8" x14ac:dyDescent="0.2">
      <c r="A228" t="s">
        <v>2184</v>
      </c>
      <c r="B228" t="s">
        <v>1734</v>
      </c>
      <c r="C228">
        <v>2</v>
      </c>
      <c r="D228" s="1" t="s">
        <v>1735</v>
      </c>
      <c r="E228" t="s">
        <v>2187</v>
      </c>
      <c r="F228">
        <v>0</v>
      </c>
      <c r="G228">
        <v>0</v>
      </c>
    </row>
    <row r="229" spans="1:8" x14ac:dyDescent="0.2">
      <c r="A229" t="s">
        <v>2184</v>
      </c>
      <c r="B229" t="s">
        <v>1736</v>
      </c>
      <c r="C229">
        <v>2</v>
      </c>
      <c r="D229" s="1" t="s">
        <v>1737</v>
      </c>
      <c r="E229" t="s">
        <v>2187</v>
      </c>
      <c r="F229">
        <v>0</v>
      </c>
      <c r="G229">
        <v>0</v>
      </c>
    </row>
    <row r="230" spans="1:8" ht="38.25" x14ac:dyDescent="0.2">
      <c r="A230" t="s">
        <v>2184</v>
      </c>
      <c r="B230" t="s">
        <v>1738</v>
      </c>
      <c r="C230">
        <v>1</v>
      </c>
      <c r="D230" s="1" t="s">
        <v>1739</v>
      </c>
      <c r="E230" t="s">
        <v>2108</v>
      </c>
      <c r="F230">
        <v>1</v>
      </c>
      <c r="G230">
        <v>0</v>
      </c>
      <c r="H230" s="1" t="s">
        <v>1740</v>
      </c>
    </row>
    <row r="231" spans="1:8" ht="38.25" x14ac:dyDescent="0.2">
      <c r="A231" t="s">
        <v>2184</v>
      </c>
      <c r="B231" t="s">
        <v>1741</v>
      </c>
      <c r="C231">
        <v>1</v>
      </c>
      <c r="D231" s="1" t="s">
        <v>1742</v>
      </c>
      <c r="E231" t="s">
        <v>2108</v>
      </c>
      <c r="F231">
        <v>1</v>
      </c>
      <c r="G231">
        <v>0</v>
      </c>
      <c r="H231" s="1" t="s">
        <v>1743</v>
      </c>
    </row>
    <row r="232" spans="1:8" ht="38.25" x14ac:dyDescent="0.2">
      <c r="A232" t="s">
        <v>2184</v>
      </c>
      <c r="B232" t="s">
        <v>1744</v>
      </c>
      <c r="C232">
        <v>1</v>
      </c>
      <c r="D232" s="1" t="s">
        <v>1745</v>
      </c>
      <c r="E232" t="s">
        <v>2192</v>
      </c>
      <c r="F232">
        <v>1</v>
      </c>
      <c r="G232">
        <v>0</v>
      </c>
      <c r="H232" s="1" t="s">
        <v>1746</v>
      </c>
    </row>
    <row r="233" spans="1:8" ht="38.25" x14ac:dyDescent="0.2">
      <c r="A233" t="s">
        <v>2184</v>
      </c>
      <c r="B233" t="s">
        <v>1747</v>
      </c>
      <c r="C233">
        <v>1</v>
      </c>
      <c r="D233" s="1" t="s">
        <v>2035</v>
      </c>
      <c r="E233" t="s">
        <v>2108</v>
      </c>
      <c r="F233">
        <v>1</v>
      </c>
      <c r="G233">
        <v>0</v>
      </c>
      <c r="H233" s="1" t="s">
        <v>1748</v>
      </c>
    </row>
    <row r="234" spans="1:8" x14ac:dyDescent="0.2">
      <c r="A234" t="s">
        <v>2184</v>
      </c>
      <c r="B234" t="s">
        <v>1749</v>
      </c>
      <c r="C234">
        <v>2</v>
      </c>
      <c r="D234" s="1" t="s">
        <v>1750</v>
      </c>
      <c r="E234" t="s">
        <v>2187</v>
      </c>
      <c r="F234">
        <v>0</v>
      </c>
      <c r="G234">
        <v>0</v>
      </c>
    </row>
    <row r="235" spans="1:8" ht="191.25" x14ac:dyDescent="0.2">
      <c r="A235" t="s">
        <v>2184</v>
      </c>
      <c r="B235" t="s">
        <v>1751</v>
      </c>
      <c r="C235">
        <v>1</v>
      </c>
      <c r="D235" s="1" t="s">
        <v>1752</v>
      </c>
      <c r="E235" t="s">
        <v>2204</v>
      </c>
      <c r="F235">
        <v>1</v>
      </c>
      <c r="G235">
        <v>5</v>
      </c>
      <c r="H235" s="2" t="s">
        <v>2432</v>
      </c>
    </row>
    <row r="236" spans="1:8" ht="178.5" x14ac:dyDescent="0.2">
      <c r="A236" t="s">
        <v>2184</v>
      </c>
      <c r="B236" t="s">
        <v>2433</v>
      </c>
      <c r="C236">
        <v>1</v>
      </c>
      <c r="D236" s="1" t="s">
        <v>2434</v>
      </c>
      <c r="E236" t="s">
        <v>2204</v>
      </c>
      <c r="F236">
        <v>1</v>
      </c>
      <c r="G236">
        <v>0</v>
      </c>
      <c r="H236" s="2" t="s">
        <v>2435</v>
      </c>
    </row>
    <row r="237" spans="1:8" x14ac:dyDescent="0.2">
      <c r="A237" t="s">
        <v>2184</v>
      </c>
      <c r="B237" t="s">
        <v>2436</v>
      </c>
      <c r="C237">
        <v>2</v>
      </c>
      <c r="D237" s="1" t="s">
        <v>2437</v>
      </c>
      <c r="E237" t="s">
        <v>2187</v>
      </c>
      <c r="F237">
        <v>0</v>
      </c>
      <c r="G237">
        <v>0</v>
      </c>
    </row>
    <row r="238" spans="1:8" ht="89.25" x14ac:dyDescent="0.2">
      <c r="A238" t="s">
        <v>2184</v>
      </c>
      <c r="B238" t="s">
        <v>2438</v>
      </c>
      <c r="C238">
        <v>1</v>
      </c>
      <c r="D238" s="1" t="s">
        <v>2439</v>
      </c>
      <c r="E238" t="s">
        <v>2108</v>
      </c>
      <c r="F238">
        <v>1</v>
      </c>
      <c r="G238">
        <v>400</v>
      </c>
      <c r="H238" s="2" t="s">
        <v>2292</v>
      </c>
    </row>
    <row r="239" spans="1:8" x14ac:dyDescent="0.2">
      <c r="A239" t="s">
        <v>2184</v>
      </c>
      <c r="B239" t="s">
        <v>2293</v>
      </c>
      <c r="C239">
        <v>2</v>
      </c>
      <c r="D239" s="1" t="s">
        <v>2294</v>
      </c>
      <c r="E239" t="s">
        <v>2187</v>
      </c>
      <c r="F239">
        <v>0</v>
      </c>
      <c r="G239">
        <v>0</v>
      </c>
    </row>
    <row r="240" spans="1:8" ht="114.75" x14ac:dyDescent="0.2">
      <c r="A240" t="s">
        <v>2184</v>
      </c>
      <c r="B240" t="s">
        <v>2295</v>
      </c>
      <c r="C240">
        <v>1</v>
      </c>
      <c r="D240" s="1" t="s">
        <v>2296</v>
      </c>
      <c r="E240" t="s">
        <v>2108</v>
      </c>
      <c r="F240">
        <v>1</v>
      </c>
      <c r="G240">
        <v>0</v>
      </c>
      <c r="H240" s="2" t="s">
        <v>2297</v>
      </c>
    </row>
    <row r="241" spans="1:8" ht="140.25" x14ac:dyDescent="0.2">
      <c r="A241" t="s">
        <v>2184</v>
      </c>
      <c r="B241" t="s">
        <v>2298</v>
      </c>
      <c r="C241">
        <v>1</v>
      </c>
      <c r="D241" s="1" t="s">
        <v>2299</v>
      </c>
      <c r="E241" t="s">
        <v>2108</v>
      </c>
      <c r="F241">
        <v>1</v>
      </c>
      <c r="G241">
        <v>2</v>
      </c>
      <c r="H241" s="2" t="s">
        <v>2300</v>
      </c>
    </row>
    <row r="242" spans="1:8" x14ac:dyDescent="0.2">
      <c r="A242" t="s">
        <v>2184</v>
      </c>
      <c r="B242" t="s">
        <v>2301</v>
      </c>
      <c r="C242">
        <v>2</v>
      </c>
      <c r="D242" s="1" t="s">
        <v>2302</v>
      </c>
      <c r="E242" t="s">
        <v>2187</v>
      </c>
      <c r="F242">
        <v>0</v>
      </c>
      <c r="G242">
        <v>0</v>
      </c>
    </row>
    <row r="243" spans="1:8" x14ac:dyDescent="0.2">
      <c r="A243" t="s">
        <v>2184</v>
      </c>
      <c r="B243" t="s">
        <v>2303</v>
      </c>
      <c r="C243">
        <v>2</v>
      </c>
      <c r="D243" s="1" t="s">
        <v>2304</v>
      </c>
      <c r="E243" t="s">
        <v>2187</v>
      </c>
      <c r="F243">
        <v>0</v>
      </c>
      <c r="G243">
        <v>0</v>
      </c>
    </row>
    <row r="244" spans="1:8" ht="63.75" x14ac:dyDescent="0.2">
      <c r="A244" t="s">
        <v>2184</v>
      </c>
      <c r="B244" t="s">
        <v>2305</v>
      </c>
      <c r="C244">
        <v>1</v>
      </c>
      <c r="D244" s="1" t="s">
        <v>2306</v>
      </c>
      <c r="E244" t="s">
        <v>2108</v>
      </c>
      <c r="F244">
        <v>1</v>
      </c>
      <c r="G244">
        <v>280</v>
      </c>
      <c r="H244" s="1" t="s">
        <v>2319</v>
      </c>
    </row>
    <row r="245" spans="1:8" ht="76.5" x14ac:dyDescent="0.2">
      <c r="A245" t="s">
        <v>2184</v>
      </c>
      <c r="B245" t="s">
        <v>2320</v>
      </c>
      <c r="C245">
        <v>1</v>
      </c>
      <c r="D245" s="1" t="s">
        <v>2321</v>
      </c>
      <c r="E245" t="s">
        <v>2108</v>
      </c>
      <c r="F245">
        <v>1</v>
      </c>
      <c r="G245">
        <v>180</v>
      </c>
      <c r="H245" s="2" t="s">
        <v>2322</v>
      </c>
    </row>
    <row r="246" spans="1:8" ht="114.75" x14ac:dyDescent="0.2">
      <c r="A246" t="s">
        <v>2184</v>
      </c>
      <c r="B246" t="s">
        <v>2323</v>
      </c>
      <c r="C246">
        <v>1</v>
      </c>
      <c r="D246" s="1" t="s">
        <v>2324</v>
      </c>
      <c r="E246" t="s">
        <v>2108</v>
      </c>
      <c r="F246">
        <v>1</v>
      </c>
      <c r="G246">
        <v>0</v>
      </c>
      <c r="H246" s="2" t="s">
        <v>2325</v>
      </c>
    </row>
    <row r="247" spans="1:8" ht="76.5" x14ac:dyDescent="0.2">
      <c r="A247" t="s">
        <v>2184</v>
      </c>
      <c r="B247" t="s">
        <v>2326</v>
      </c>
      <c r="C247">
        <v>1</v>
      </c>
      <c r="D247" s="1" t="s">
        <v>2327</v>
      </c>
      <c r="E247" t="s">
        <v>2108</v>
      </c>
      <c r="F247">
        <v>1</v>
      </c>
      <c r="G247">
        <v>10</v>
      </c>
      <c r="H247" s="1" t="s">
        <v>2328</v>
      </c>
    </row>
    <row r="248" spans="1:8" ht="102" x14ac:dyDescent="0.2">
      <c r="A248" t="s">
        <v>2184</v>
      </c>
      <c r="B248" t="s">
        <v>2329</v>
      </c>
      <c r="C248">
        <v>1</v>
      </c>
      <c r="D248" s="1" t="s">
        <v>2330</v>
      </c>
      <c r="E248" t="s">
        <v>2108</v>
      </c>
      <c r="F248">
        <v>1</v>
      </c>
      <c r="G248">
        <v>140</v>
      </c>
      <c r="H248" s="2" t="s">
        <v>2331</v>
      </c>
    </row>
    <row r="249" spans="1:8" ht="102" x14ac:dyDescent="0.2">
      <c r="A249" t="s">
        <v>2184</v>
      </c>
      <c r="B249" t="s">
        <v>2342</v>
      </c>
      <c r="C249">
        <v>1</v>
      </c>
      <c r="D249" s="1" t="s">
        <v>2343</v>
      </c>
      <c r="E249" t="s">
        <v>2108</v>
      </c>
      <c r="F249">
        <v>1</v>
      </c>
      <c r="G249">
        <v>0</v>
      </c>
      <c r="H249" s="2" t="s">
        <v>1677</v>
      </c>
    </row>
    <row r="250" spans="1:8" ht="102" x14ac:dyDescent="0.2">
      <c r="A250" t="s">
        <v>2184</v>
      </c>
      <c r="B250" t="s">
        <v>1678</v>
      </c>
      <c r="C250">
        <v>1</v>
      </c>
      <c r="D250" s="1" t="s">
        <v>1679</v>
      </c>
      <c r="E250" t="s">
        <v>2108</v>
      </c>
      <c r="F250">
        <v>1</v>
      </c>
      <c r="G250">
        <v>0</v>
      </c>
      <c r="H250" s="2" t="s">
        <v>1680</v>
      </c>
    </row>
    <row r="251" spans="1:8" ht="38.25" x14ac:dyDescent="0.2">
      <c r="A251" t="s">
        <v>2184</v>
      </c>
      <c r="B251" t="s">
        <v>1681</v>
      </c>
      <c r="C251">
        <v>2</v>
      </c>
      <c r="D251" s="1" t="s">
        <v>1682</v>
      </c>
      <c r="E251" t="s">
        <v>2187</v>
      </c>
      <c r="F251">
        <v>0</v>
      </c>
      <c r="G251">
        <v>0</v>
      </c>
    </row>
    <row r="252" spans="1:8" ht="76.5" x14ac:dyDescent="0.2">
      <c r="A252" t="s">
        <v>2184</v>
      </c>
      <c r="B252" t="s">
        <v>1683</v>
      </c>
      <c r="C252">
        <v>1</v>
      </c>
      <c r="D252" s="1" t="s">
        <v>1684</v>
      </c>
      <c r="E252" t="s">
        <v>2204</v>
      </c>
      <c r="F252">
        <v>1</v>
      </c>
      <c r="G252">
        <v>0</v>
      </c>
      <c r="H252" s="1" t="s">
        <v>1685</v>
      </c>
    </row>
    <row r="253" spans="1:8" ht="76.5" x14ac:dyDescent="0.2">
      <c r="A253" t="s">
        <v>2184</v>
      </c>
      <c r="B253" t="s">
        <v>1686</v>
      </c>
      <c r="C253">
        <v>1</v>
      </c>
      <c r="D253" s="1" t="s">
        <v>1687</v>
      </c>
      <c r="E253" t="s">
        <v>2204</v>
      </c>
      <c r="F253">
        <v>1</v>
      </c>
      <c r="G253">
        <v>15</v>
      </c>
      <c r="H253" s="1" t="s">
        <v>1688</v>
      </c>
    </row>
    <row r="254" spans="1:8" ht="76.5" x14ac:dyDescent="0.2">
      <c r="A254" t="s">
        <v>2184</v>
      </c>
      <c r="B254" t="s">
        <v>1689</v>
      </c>
      <c r="C254">
        <v>1</v>
      </c>
      <c r="D254" s="1" t="s">
        <v>1690</v>
      </c>
      <c r="E254" t="s">
        <v>2204</v>
      </c>
      <c r="F254">
        <v>1</v>
      </c>
      <c r="G254">
        <v>8</v>
      </c>
      <c r="H254" s="1" t="s">
        <v>1691</v>
      </c>
    </row>
    <row r="255" spans="1:8" ht="89.25" x14ac:dyDescent="0.2">
      <c r="A255" t="s">
        <v>2184</v>
      </c>
      <c r="B255" t="s">
        <v>1692</v>
      </c>
      <c r="C255">
        <v>1</v>
      </c>
      <c r="D255" s="1" t="s">
        <v>1313</v>
      </c>
      <c r="E255" t="s">
        <v>2204</v>
      </c>
      <c r="F255">
        <v>1</v>
      </c>
      <c r="G255">
        <v>4.5</v>
      </c>
      <c r="H255" s="2" t="s">
        <v>1314</v>
      </c>
    </row>
    <row r="256" spans="1:8" ht="25.5" x14ac:dyDescent="0.2">
      <c r="A256" t="s">
        <v>2184</v>
      </c>
      <c r="B256" t="s">
        <v>1315</v>
      </c>
      <c r="C256">
        <v>2</v>
      </c>
      <c r="D256" s="1" t="s">
        <v>1316</v>
      </c>
      <c r="E256" t="s">
        <v>2187</v>
      </c>
      <c r="F256">
        <v>0</v>
      </c>
      <c r="G256">
        <v>0</v>
      </c>
    </row>
    <row r="257" spans="1:8" ht="38.25" x14ac:dyDescent="0.2">
      <c r="A257" t="s">
        <v>2184</v>
      </c>
      <c r="B257" t="s">
        <v>1317</v>
      </c>
      <c r="C257">
        <v>1</v>
      </c>
      <c r="D257" s="1" t="s">
        <v>1318</v>
      </c>
      <c r="E257" t="s">
        <v>2108</v>
      </c>
      <c r="F257">
        <v>1</v>
      </c>
      <c r="G257">
        <v>0</v>
      </c>
      <c r="H257" s="1" t="s">
        <v>1319</v>
      </c>
    </row>
    <row r="258" spans="1:8" ht="38.25" x14ac:dyDescent="0.2">
      <c r="A258" t="s">
        <v>2184</v>
      </c>
      <c r="B258" t="s">
        <v>1320</v>
      </c>
      <c r="C258">
        <v>1</v>
      </c>
      <c r="D258" s="1" t="s">
        <v>1321</v>
      </c>
      <c r="E258" t="s">
        <v>2108</v>
      </c>
      <c r="F258">
        <v>1</v>
      </c>
      <c r="G258">
        <v>0</v>
      </c>
      <c r="H258" s="1" t="s">
        <v>1322</v>
      </c>
    </row>
    <row r="259" spans="1:8" x14ac:dyDescent="0.2">
      <c r="A259" t="s">
        <v>2184</v>
      </c>
      <c r="B259" t="s">
        <v>1323</v>
      </c>
      <c r="C259">
        <v>2</v>
      </c>
      <c r="D259" s="1" t="s">
        <v>1324</v>
      </c>
      <c r="E259" t="s">
        <v>2187</v>
      </c>
      <c r="F259">
        <v>0</v>
      </c>
      <c r="G259">
        <v>0</v>
      </c>
    </row>
    <row r="260" spans="1:8" ht="76.5" x14ac:dyDescent="0.2">
      <c r="A260" t="s">
        <v>2184</v>
      </c>
      <c r="B260" t="s">
        <v>1325</v>
      </c>
      <c r="C260">
        <v>1</v>
      </c>
      <c r="D260" s="1" t="s">
        <v>1326</v>
      </c>
      <c r="E260" t="s">
        <v>2204</v>
      </c>
      <c r="F260">
        <v>1</v>
      </c>
      <c r="G260">
        <v>10</v>
      </c>
      <c r="H260" s="1" t="s">
        <v>1327</v>
      </c>
    </row>
    <row r="261" spans="1:8" ht="76.5" x14ac:dyDescent="0.2">
      <c r="A261" t="s">
        <v>2184</v>
      </c>
      <c r="B261" t="s">
        <v>1328</v>
      </c>
      <c r="C261">
        <v>1</v>
      </c>
      <c r="D261" s="1" t="s">
        <v>1329</v>
      </c>
      <c r="E261" t="s">
        <v>2204</v>
      </c>
      <c r="F261">
        <v>1</v>
      </c>
      <c r="G261">
        <v>8</v>
      </c>
      <c r="H261" s="1" t="s">
        <v>1330</v>
      </c>
    </row>
    <row r="262" spans="1:8" ht="38.25" x14ac:dyDescent="0.2">
      <c r="A262" t="s">
        <v>2184</v>
      </c>
      <c r="B262" t="s">
        <v>1331</v>
      </c>
      <c r="C262">
        <v>1</v>
      </c>
      <c r="D262" s="1" t="s">
        <v>1332</v>
      </c>
      <c r="E262" t="s">
        <v>2204</v>
      </c>
      <c r="F262">
        <v>1</v>
      </c>
      <c r="G262">
        <v>5</v>
      </c>
      <c r="H262" s="1" t="s">
        <v>1333</v>
      </c>
    </row>
    <row r="263" spans="1:8" ht="38.25" x14ac:dyDescent="0.2">
      <c r="A263" t="s">
        <v>2184</v>
      </c>
      <c r="B263" t="s">
        <v>1334</v>
      </c>
      <c r="C263">
        <v>1</v>
      </c>
      <c r="D263" s="1" t="s">
        <v>1335</v>
      </c>
      <c r="E263" t="s">
        <v>2108</v>
      </c>
      <c r="F263">
        <v>1</v>
      </c>
      <c r="G263">
        <v>0</v>
      </c>
      <c r="H263" s="1" t="s">
        <v>1336</v>
      </c>
    </row>
    <row r="264" spans="1:8" ht="76.5" x14ac:dyDescent="0.2">
      <c r="A264" t="s">
        <v>2184</v>
      </c>
      <c r="B264" t="s">
        <v>1337</v>
      </c>
      <c r="C264">
        <v>1</v>
      </c>
      <c r="D264" s="1" t="s">
        <v>1706</v>
      </c>
      <c r="E264" t="s">
        <v>2108</v>
      </c>
      <c r="F264">
        <v>1</v>
      </c>
      <c r="G264">
        <v>0</v>
      </c>
      <c r="H264" s="2" t="s">
        <v>1707</v>
      </c>
    </row>
    <row r="265" spans="1:8" ht="89.25" x14ac:dyDescent="0.2">
      <c r="A265" t="s">
        <v>2184</v>
      </c>
      <c r="B265" t="s">
        <v>1708</v>
      </c>
      <c r="C265">
        <v>1</v>
      </c>
      <c r="D265" s="1" t="s">
        <v>1709</v>
      </c>
      <c r="E265" t="s">
        <v>2108</v>
      </c>
      <c r="F265">
        <v>1</v>
      </c>
      <c r="G265">
        <v>10</v>
      </c>
      <c r="H265" s="2" t="s">
        <v>1710</v>
      </c>
    </row>
    <row r="266" spans="1:8" ht="127.5" x14ac:dyDescent="0.2">
      <c r="A266" t="s">
        <v>2184</v>
      </c>
      <c r="B266" t="s">
        <v>1711</v>
      </c>
      <c r="C266">
        <v>1</v>
      </c>
      <c r="D266" s="1" t="s">
        <v>1712</v>
      </c>
      <c r="E266" t="s">
        <v>2108</v>
      </c>
      <c r="F266">
        <v>1</v>
      </c>
      <c r="G266">
        <v>120</v>
      </c>
      <c r="H266" s="2" t="s">
        <v>1713</v>
      </c>
    </row>
    <row r="267" spans="1:8" x14ac:dyDescent="0.2">
      <c r="A267" t="s">
        <v>2184</v>
      </c>
      <c r="B267" t="s">
        <v>1714</v>
      </c>
      <c r="C267">
        <v>2</v>
      </c>
      <c r="D267" s="1" t="s">
        <v>1715</v>
      </c>
      <c r="E267" t="s">
        <v>2187</v>
      </c>
      <c r="F267">
        <v>0</v>
      </c>
      <c r="G267">
        <v>0</v>
      </c>
    </row>
    <row r="268" spans="1:8" ht="102" x14ac:dyDescent="0.2">
      <c r="A268" t="s">
        <v>2184</v>
      </c>
      <c r="B268" t="s">
        <v>1716</v>
      </c>
      <c r="C268">
        <v>1</v>
      </c>
      <c r="D268" s="1" t="s">
        <v>1717</v>
      </c>
      <c r="E268" t="s">
        <v>2192</v>
      </c>
      <c r="F268">
        <v>1</v>
      </c>
      <c r="G268">
        <v>350</v>
      </c>
      <c r="H268" s="2" t="s">
        <v>1718</v>
      </c>
    </row>
    <row r="269" spans="1:8" x14ac:dyDescent="0.2">
      <c r="A269" t="s">
        <v>2184</v>
      </c>
      <c r="B269" t="s">
        <v>1719</v>
      </c>
      <c r="C269">
        <v>2</v>
      </c>
      <c r="D269" s="1" t="s">
        <v>1720</v>
      </c>
      <c r="E269" t="s">
        <v>2187</v>
      </c>
      <c r="F269">
        <v>0</v>
      </c>
      <c r="G269">
        <v>0</v>
      </c>
    </row>
    <row r="270" spans="1:8" ht="38.25" x14ac:dyDescent="0.2">
      <c r="A270" t="s">
        <v>2184</v>
      </c>
      <c r="B270" t="s">
        <v>1721</v>
      </c>
      <c r="C270">
        <v>1</v>
      </c>
      <c r="D270" s="1" t="s">
        <v>1722</v>
      </c>
      <c r="E270" t="s">
        <v>2204</v>
      </c>
      <c r="F270">
        <v>1</v>
      </c>
      <c r="G270">
        <v>0</v>
      </c>
      <c r="H270" s="1" t="s">
        <v>1342</v>
      </c>
    </row>
    <row r="271" spans="1:8" x14ac:dyDescent="0.2">
      <c r="A271" t="s">
        <v>2184</v>
      </c>
      <c r="B271" t="s">
        <v>2192</v>
      </c>
      <c r="C271">
        <v>2</v>
      </c>
      <c r="D271" s="1" t="s">
        <v>1343</v>
      </c>
      <c r="E271" t="s">
        <v>2187</v>
      </c>
      <c r="F271">
        <v>0</v>
      </c>
      <c r="G271">
        <v>0</v>
      </c>
    </row>
    <row r="272" spans="1:8" x14ac:dyDescent="0.2">
      <c r="A272" t="s">
        <v>2184</v>
      </c>
      <c r="B272" t="s">
        <v>1344</v>
      </c>
      <c r="C272">
        <v>2</v>
      </c>
      <c r="D272" s="1" t="s">
        <v>1345</v>
      </c>
      <c r="E272" t="s">
        <v>2187</v>
      </c>
      <c r="F272">
        <v>0</v>
      </c>
      <c r="G272">
        <v>0</v>
      </c>
    </row>
    <row r="273" spans="1:8" x14ac:dyDescent="0.2">
      <c r="A273" t="s">
        <v>2184</v>
      </c>
      <c r="B273" t="s">
        <v>1346</v>
      </c>
      <c r="C273">
        <v>2</v>
      </c>
      <c r="D273" s="1" t="s">
        <v>1347</v>
      </c>
      <c r="E273" t="s">
        <v>2187</v>
      </c>
      <c r="F273">
        <v>0</v>
      </c>
      <c r="G273">
        <v>0</v>
      </c>
    </row>
    <row r="274" spans="1:8" ht="63.75" x14ac:dyDescent="0.2">
      <c r="A274" t="s">
        <v>2184</v>
      </c>
      <c r="B274" t="s">
        <v>1348</v>
      </c>
      <c r="C274">
        <v>1</v>
      </c>
      <c r="D274" s="1" t="s">
        <v>1349</v>
      </c>
      <c r="E274" t="s">
        <v>1946</v>
      </c>
      <c r="F274">
        <v>1</v>
      </c>
      <c r="G274">
        <v>70</v>
      </c>
      <c r="H274" s="1" t="s">
        <v>1350</v>
      </c>
    </row>
    <row r="275" spans="1:8" x14ac:dyDescent="0.2">
      <c r="A275" t="s">
        <v>2184</v>
      </c>
      <c r="B275" t="s">
        <v>1351</v>
      </c>
      <c r="C275">
        <v>2</v>
      </c>
      <c r="D275" s="1" t="s">
        <v>1352</v>
      </c>
      <c r="E275" t="s">
        <v>2187</v>
      </c>
      <c r="F275">
        <v>0</v>
      </c>
      <c r="G275">
        <v>0</v>
      </c>
    </row>
    <row r="276" spans="1:8" ht="89.25" x14ac:dyDescent="0.2">
      <c r="A276" t="s">
        <v>2184</v>
      </c>
      <c r="B276" t="s">
        <v>1353</v>
      </c>
      <c r="C276">
        <v>1</v>
      </c>
      <c r="D276" s="1" t="s">
        <v>1354</v>
      </c>
      <c r="E276" t="s">
        <v>1946</v>
      </c>
      <c r="F276">
        <v>1</v>
      </c>
      <c r="G276">
        <v>160</v>
      </c>
      <c r="H276" s="2" t="s">
        <v>1355</v>
      </c>
    </row>
    <row r="277" spans="1:8" x14ac:dyDescent="0.2">
      <c r="A277" t="s">
        <v>2184</v>
      </c>
      <c r="B277" t="s">
        <v>1356</v>
      </c>
      <c r="C277">
        <v>2</v>
      </c>
      <c r="D277" s="1" t="s">
        <v>1357</v>
      </c>
      <c r="E277" t="s">
        <v>2187</v>
      </c>
      <c r="F277">
        <v>0</v>
      </c>
      <c r="G277">
        <v>0</v>
      </c>
    </row>
    <row r="278" spans="1:8" ht="114.75" x14ac:dyDescent="0.2">
      <c r="A278" t="s">
        <v>2184</v>
      </c>
      <c r="B278" t="s">
        <v>1358</v>
      </c>
      <c r="C278">
        <v>1</v>
      </c>
      <c r="D278" s="1" t="s">
        <v>1359</v>
      </c>
      <c r="E278" t="s">
        <v>1946</v>
      </c>
      <c r="F278">
        <v>1</v>
      </c>
      <c r="G278">
        <v>0</v>
      </c>
      <c r="H278" s="2" t="s">
        <v>1360</v>
      </c>
    </row>
    <row r="279" spans="1:8" x14ac:dyDescent="0.2">
      <c r="A279" t="s">
        <v>2184</v>
      </c>
      <c r="B279" t="s">
        <v>1361</v>
      </c>
      <c r="C279">
        <v>2</v>
      </c>
      <c r="D279" s="1" t="s">
        <v>1362</v>
      </c>
      <c r="E279" t="s">
        <v>2187</v>
      </c>
      <c r="F279">
        <v>0</v>
      </c>
      <c r="G279">
        <v>0</v>
      </c>
    </row>
    <row r="280" spans="1:8" ht="76.5" x14ac:dyDescent="0.2">
      <c r="A280" t="s">
        <v>2184</v>
      </c>
      <c r="B280" t="s">
        <v>1363</v>
      </c>
      <c r="C280">
        <v>1</v>
      </c>
      <c r="D280" s="1" t="s">
        <v>1364</v>
      </c>
      <c r="E280" t="s">
        <v>1946</v>
      </c>
      <c r="F280">
        <v>1</v>
      </c>
      <c r="G280">
        <v>180</v>
      </c>
      <c r="H280" s="1" t="s">
        <v>1365</v>
      </c>
    </row>
    <row r="281" spans="1:8" x14ac:dyDescent="0.2">
      <c r="A281" t="s">
        <v>2184</v>
      </c>
      <c r="B281" t="s">
        <v>1366</v>
      </c>
      <c r="C281">
        <v>2</v>
      </c>
      <c r="D281" s="1" t="s">
        <v>1367</v>
      </c>
      <c r="E281" t="s">
        <v>2187</v>
      </c>
      <c r="F281">
        <v>0</v>
      </c>
      <c r="G281">
        <v>0</v>
      </c>
    </row>
    <row r="282" spans="1:8" ht="76.5" x14ac:dyDescent="0.2">
      <c r="A282" t="s">
        <v>2184</v>
      </c>
      <c r="B282" t="s">
        <v>1368</v>
      </c>
      <c r="C282">
        <v>1</v>
      </c>
      <c r="D282" s="1" t="s">
        <v>1369</v>
      </c>
      <c r="E282" t="s">
        <v>1946</v>
      </c>
      <c r="F282">
        <v>1</v>
      </c>
      <c r="G282">
        <v>210</v>
      </c>
      <c r="H282" s="1" t="s">
        <v>1833</v>
      </c>
    </row>
    <row r="283" spans="1:8" x14ac:dyDescent="0.2">
      <c r="A283" t="s">
        <v>2184</v>
      </c>
      <c r="B283" t="s">
        <v>1834</v>
      </c>
      <c r="C283">
        <v>2</v>
      </c>
      <c r="D283" s="1" t="s">
        <v>1835</v>
      </c>
      <c r="E283" t="s">
        <v>2187</v>
      </c>
      <c r="F283">
        <v>0</v>
      </c>
      <c r="G283">
        <v>0</v>
      </c>
    </row>
    <row r="284" spans="1:8" x14ac:dyDescent="0.2">
      <c r="A284" t="s">
        <v>2184</v>
      </c>
      <c r="B284" t="s">
        <v>1836</v>
      </c>
      <c r="C284">
        <v>2</v>
      </c>
      <c r="D284" s="1" t="s">
        <v>1837</v>
      </c>
      <c r="E284" t="s">
        <v>2187</v>
      </c>
      <c r="F284">
        <v>0</v>
      </c>
      <c r="G284">
        <v>0</v>
      </c>
    </row>
    <row r="285" spans="1:8" ht="89.25" x14ac:dyDescent="0.2">
      <c r="A285" t="s">
        <v>2184</v>
      </c>
      <c r="B285" t="s">
        <v>1838</v>
      </c>
      <c r="C285">
        <v>1</v>
      </c>
      <c r="D285" s="1" t="s">
        <v>1839</v>
      </c>
      <c r="E285" t="s">
        <v>2149</v>
      </c>
      <c r="F285">
        <v>1</v>
      </c>
      <c r="G285">
        <v>600</v>
      </c>
      <c r="H285" s="2" t="s">
        <v>1840</v>
      </c>
    </row>
    <row r="286" spans="1:8" ht="25.5" x14ac:dyDescent="0.2">
      <c r="A286" t="s">
        <v>2184</v>
      </c>
      <c r="B286" t="s">
        <v>1841</v>
      </c>
      <c r="C286">
        <v>2</v>
      </c>
      <c r="D286" s="1" t="s">
        <v>1842</v>
      </c>
      <c r="E286" t="s">
        <v>2187</v>
      </c>
      <c r="F286">
        <v>0</v>
      </c>
      <c r="G286">
        <v>0</v>
      </c>
    </row>
    <row r="287" spans="1:8" ht="76.5" x14ac:dyDescent="0.2">
      <c r="A287" t="s">
        <v>2184</v>
      </c>
      <c r="B287" t="s">
        <v>1843</v>
      </c>
      <c r="C287">
        <v>1</v>
      </c>
      <c r="D287" s="1" t="s">
        <v>1844</v>
      </c>
      <c r="E287" t="s">
        <v>2149</v>
      </c>
      <c r="F287">
        <v>1</v>
      </c>
      <c r="G287">
        <v>0</v>
      </c>
      <c r="H287" s="2" t="s">
        <v>2332</v>
      </c>
    </row>
    <row r="288" spans="1:8" ht="76.5" x14ac:dyDescent="0.2">
      <c r="A288" t="s">
        <v>2184</v>
      </c>
      <c r="B288" t="s">
        <v>2333</v>
      </c>
      <c r="C288">
        <v>1</v>
      </c>
      <c r="D288" s="1" t="s">
        <v>2334</v>
      </c>
      <c r="E288" t="s">
        <v>2149</v>
      </c>
      <c r="F288">
        <v>1</v>
      </c>
      <c r="G288">
        <v>0</v>
      </c>
      <c r="H288" s="2" t="s">
        <v>2335</v>
      </c>
    </row>
    <row r="289" spans="1:8" ht="102" x14ac:dyDescent="0.2">
      <c r="A289" t="s">
        <v>2184</v>
      </c>
      <c r="B289" t="s">
        <v>2336</v>
      </c>
      <c r="C289">
        <v>1</v>
      </c>
      <c r="D289" s="1" t="s">
        <v>2337</v>
      </c>
      <c r="E289" t="s">
        <v>2149</v>
      </c>
      <c r="F289">
        <v>1</v>
      </c>
      <c r="G289">
        <v>0</v>
      </c>
      <c r="H289" s="2" t="s">
        <v>2474</v>
      </c>
    </row>
    <row r="290" spans="1:8" ht="102" x14ac:dyDescent="0.2">
      <c r="A290" t="s">
        <v>2184</v>
      </c>
      <c r="B290" t="s">
        <v>2475</v>
      </c>
      <c r="C290">
        <v>1</v>
      </c>
      <c r="D290" s="1" t="s">
        <v>2476</v>
      </c>
      <c r="E290" t="s">
        <v>2149</v>
      </c>
      <c r="F290">
        <v>1</v>
      </c>
      <c r="G290">
        <v>75</v>
      </c>
      <c r="H290" s="2" t="s">
        <v>2477</v>
      </c>
    </row>
    <row r="291" spans="1:8" ht="102" x14ac:dyDescent="0.2">
      <c r="A291" t="s">
        <v>2184</v>
      </c>
      <c r="B291" t="s">
        <v>2478</v>
      </c>
      <c r="C291">
        <v>1</v>
      </c>
      <c r="D291" s="1" t="s">
        <v>2479</v>
      </c>
      <c r="E291" t="s">
        <v>2149</v>
      </c>
      <c r="F291">
        <v>1</v>
      </c>
      <c r="G291">
        <v>86</v>
      </c>
      <c r="H291" s="2" t="s">
        <v>2480</v>
      </c>
    </row>
    <row r="292" spans="1:8" x14ac:dyDescent="0.2">
      <c r="A292" t="s">
        <v>2184</v>
      </c>
      <c r="B292" t="s">
        <v>2481</v>
      </c>
      <c r="C292">
        <v>2</v>
      </c>
      <c r="D292" s="1" t="s">
        <v>2482</v>
      </c>
      <c r="E292" t="s">
        <v>2187</v>
      </c>
      <c r="F292">
        <v>0</v>
      </c>
      <c r="G292">
        <v>0</v>
      </c>
    </row>
    <row r="293" spans="1:8" ht="127.5" x14ac:dyDescent="0.2">
      <c r="A293" t="s">
        <v>2184</v>
      </c>
      <c r="B293" t="s">
        <v>2483</v>
      </c>
      <c r="C293">
        <v>1</v>
      </c>
      <c r="D293" s="1" t="s">
        <v>2484</v>
      </c>
      <c r="E293" t="s">
        <v>2149</v>
      </c>
      <c r="F293">
        <v>1</v>
      </c>
      <c r="G293">
        <v>0</v>
      </c>
      <c r="H293" s="2" t="s">
        <v>2244</v>
      </c>
    </row>
    <row r="294" spans="1:8" ht="25.5" x14ac:dyDescent="0.2">
      <c r="A294" t="s">
        <v>2184</v>
      </c>
      <c r="B294" t="s">
        <v>2245</v>
      </c>
      <c r="C294">
        <v>2</v>
      </c>
      <c r="D294" s="1" t="s">
        <v>2246</v>
      </c>
      <c r="E294" t="s">
        <v>2187</v>
      </c>
      <c r="F294">
        <v>0</v>
      </c>
      <c r="G294">
        <v>0</v>
      </c>
    </row>
    <row r="295" spans="1:8" ht="127.5" x14ac:dyDescent="0.2">
      <c r="A295" t="s">
        <v>2184</v>
      </c>
      <c r="B295" t="s">
        <v>2247</v>
      </c>
      <c r="C295">
        <v>1</v>
      </c>
      <c r="D295" s="1" t="s">
        <v>2248</v>
      </c>
      <c r="E295" t="s">
        <v>2149</v>
      </c>
      <c r="F295">
        <v>1</v>
      </c>
      <c r="G295">
        <v>0</v>
      </c>
      <c r="H295" s="2" t="s">
        <v>2249</v>
      </c>
    </row>
    <row r="296" spans="1:8" ht="38.25" x14ac:dyDescent="0.2">
      <c r="A296" t="s">
        <v>2184</v>
      </c>
      <c r="B296" t="s">
        <v>2250</v>
      </c>
      <c r="C296">
        <v>2</v>
      </c>
      <c r="D296" s="1" t="s">
        <v>2251</v>
      </c>
      <c r="E296" t="s">
        <v>2187</v>
      </c>
      <c r="F296">
        <v>0</v>
      </c>
      <c r="G296">
        <v>0</v>
      </c>
    </row>
    <row r="297" spans="1:8" ht="127.5" x14ac:dyDescent="0.2">
      <c r="A297" t="s">
        <v>2184</v>
      </c>
      <c r="B297" t="s">
        <v>2252</v>
      </c>
      <c r="C297">
        <v>1</v>
      </c>
      <c r="D297" s="1" t="s">
        <v>2253</v>
      </c>
      <c r="E297" t="s">
        <v>2149</v>
      </c>
      <c r="F297">
        <v>1</v>
      </c>
      <c r="G297">
        <v>0</v>
      </c>
      <c r="H297" s="2" t="s">
        <v>2254</v>
      </c>
    </row>
    <row r="298" spans="1:8" ht="127.5" x14ac:dyDescent="0.2">
      <c r="A298" t="s">
        <v>2184</v>
      </c>
      <c r="B298" t="s">
        <v>2255</v>
      </c>
      <c r="C298">
        <v>1</v>
      </c>
      <c r="D298" s="1" t="s">
        <v>2256</v>
      </c>
      <c r="E298" t="s">
        <v>2149</v>
      </c>
      <c r="F298">
        <v>1</v>
      </c>
      <c r="G298">
        <v>0</v>
      </c>
      <c r="H298" s="2" t="s">
        <v>2257</v>
      </c>
    </row>
    <row r="299" spans="1:8" ht="127.5" x14ac:dyDescent="0.2">
      <c r="A299" t="s">
        <v>2184</v>
      </c>
      <c r="B299" t="s">
        <v>2258</v>
      </c>
      <c r="C299">
        <v>1</v>
      </c>
      <c r="D299" s="1" t="s">
        <v>2259</v>
      </c>
      <c r="E299" t="s">
        <v>2149</v>
      </c>
      <c r="F299">
        <v>1</v>
      </c>
      <c r="G299">
        <v>0</v>
      </c>
      <c r="H299" s="2" t="s">
        <v>2260</v>
      </c>
    </row>
    <row r="300" spans="1:8" ht="127.5" x14ac:dyDescent="0.2">
      <c r="A300" t="s">
        <v>2184</v>
      </c>
      <c r="B300" t="s">
        <v>2261</v>
      </c>
      <c r="C300">
        <v>1</v>
      </c>
      <c r="D300" s="1" t="s">
        <v>2262</v>
      </c>
      <c r="E300" t="s">
        <v>2149</v>
      </c>
      <c r="F300">
        <v>1</v>
      </c>
      <c r="G300">
        <v>0</v>
      </c>
      <c r="H300" s="2" t="s">
        <v>2263</v>
      </c>
    </row>
    <row r="301" spans="1:8" ht="127.5" x14ac:dyDescent="0.2">
      <c r="A301" t="s">
        <v>2184</v>
      </c>
      <c r="B301" t="s">
        <v>2264</v>
      </c>
      <c r="C301">
        <v>1</v>
      </c>
      <c r="D301" s="1" t="s">
        <v>1793</v>
      </c>
      <c r="E301" t="s">
        <v>1946</v>
      </c>
      <c r="F301">
        <v>1</v>
      </c>
      <c r="G301">
        <v>0</v>
      </c>
      <c r="H301" s="2" t="s">
        <v>1794</v>
      </c>
    </row>
    <row r="302" spans="1:8" ht="140.25" x14ac:dyDescent="0.2">
      <c r="A302" t="s">
        <v>2184</v>
      </c>
      <c r="B302" t="s">
        <v>1795</v>
      </c>
      <c r="C302">
        <v>1</v>
      </c>
      <c r="D302" s="1" t="s">
        <v>1796</v>
      </c>
      <c r="E302" t="s">
        <v>2149</v>
      </c>
      <c r="F302">
        <v>1</v>
      </c>
      <c r="G302">
        <v>210</v>
      </c>
      <c r="H302" s="2" t="s">
        <v>1797</v>
      </c>
    </row>
    <row r="303" spans="1:8" ht="127.5" x14ac:dyDescent="0.2">
      <c r="A303" t="s">
        <v>2184</v>
      </c>
      <c r="B303" t="s">
        <v>1798</v>
      </c>
      <c r="C303">
        <v>1</v>
      </c>
      <c r="D303" s="1" t="s">
        <v>1799</v>
      </c>
      <c r="E303" t="s">
        <v>2149</v>
      </c>
      <c r="F303">
        <v>1</v>
      </c>
      <c r="G303">
        <v>0</v>
      </c>
      <c r="H303" s="2" t="s">
        <v>1800</v>
      </c>
    </row>
    <row r="304" spans="1:8" x14ac:dyDescent="0.2">
      <c r="A304" t="s">
        <v>2184</v>
      </c>
      <c r="B304" t="s">
        <v>1801</v>
      </c>
      <c r="C304">
        <v>2</v>
      </c>
      <c r="D304" s="1" t="s">
        <v>1802</v>
      </c>
      <c r="E304" t="s">
        <v>2187</v>
      </c>
      <c r="F304">
        <v>0</v>
      </c>
      <c r="G304">
        <v>0</v>
      </c>
    </row>
    <row r="305" spans="1:8" ht="127.5" x14ac:dyDescent="0.2">
      <c r="A305" t="s">
        <v>2184</v>
      </c>
      <c r="B305" t="s">
        <v>1803</v>
      </c>
      <c r="C305">
        <v>1</v>
      </c>
      <c r="D305" s="1" t="s">
        <v>1804</v>
      </c>
      <c r="E305" t="s">
        <v>2149</v>
      </c>
      <c r="F305">
        <v>1</v>
      </c>
      <c r="G305">
        <v>0</v>
      </c>
      <c r="H305" s="2" t="s">
        <v>1805</v>
      </c>
    </row>
    <row r="306" spans="1:8" ht="127.5" x14ac:dyDescent="0.2">
      <c r="A306" t="s">
        <v>2184</v>
      </c>
      <c r="B306" t="s">
        <v>1806</v>
      </c>
      <c r="C306">
        <v>1</v>
      </c>
      <c r="D306" s="1" t="s">
        <v>1416</v>
      </c>
      <c r="E306" t="s">
        <v>2149</v>
      </c>
      <c r="F306">
        <v>1</v>
      </c>
      <c r="G306">
        <v>0</v>
      </c>
      <c r="H306" s="2" t="s">
        <v>1417</v>
      </c>
    </row>
    <row r="307" spans="1:8" ht="127.5" x14ac:dyDescent="0.2">
      <c r="A307" t="s">
        <v>2184</v>
      </c>
      <c r="B307" t="s">
        <v>1418</v>
      </c>
      <c r="C307">
        <v>1</v>
      </c>
      <c r="D307" s="1" t="s">
        <v>1419</v>
      </c>
      <c r="E307" t="s">
        <v>1946</v>
      </c>
      <c r="F307">
        <v>1</v>
      </c>
      <c r="G307">
        <v>180</v>
      </c>
      <c r="H307" s="2" t="s">
        <v>1065</v>
      </c>
    </row>
    <row r="308" spans="1:8" ht="114.75" x14ac:dyDescent="0.2">
      <c r="A308" t="s">
        <v>2184</v>
      </c>
      <c r="B308" t="s">
        <v>1066</v>
      </c>
      <c r="C308">
        <v>1</v>
      </c>
      <c r="D308" s="1" t="s">
        <v>1067</v>
      </c>
      <c r="E308" t="s">
        <v>1946</v>
      </c>
      <c r="F308">
        <v>1</v>
      </c>
      <c r="G308">
        <v>0</v>
      </c>
      <c r="H308" s="2" t="s">
        <v>1068</v>
      </c>
    </row>
    <row r="309" spans="1:8" ht="127.5" x14ac:dyDescent="0.2">
      <c r="A309" t="s">
        <v>2184</v>
      </c>
      <c r="B309" t="s">
        <v>1444</v>
      </c>
      <c r="C309">
        <v>1</v>
      </c>
      <c r="D309" s="1" t="s">
        <v>1445</v>
      </c>
      <c r="E309" t="s">
        <v>2204</v>
      </c>
      <c r="F309">
        <v>1</v>
      </c>
      <c r="G309">
        <v>120</v>
      </c>
      <c r="H309" s="2" t="s">
        <v>1446</v>
      </c>
    </row>
    <row r="310" spans="1:8" x14ac:dyDescent="0.2">
      <c r="A310" t="s">
        <v>2184</v>
      </c>
      <c r="B310" t="s">
        <v>1447</v>
      </c>
      <c r="C310">
        <v>2</v>
      </c>
      <c r="D310" s="1" t="s">
        <v>1448</v>
      </c>
      <c r="E310" t="s">
        <v>2187</v>
      </c>
      <c r="F310">
        <v>0</v>
      </c>
      <c r="G310">
        <v>0</v>
      </c>
    </row>
    <row r="311" spans="1:8" ht="89.25" x14ac:dyDescent="0.2">
      <c r="A311" t="s">
        <v>2184</v>
      </c>
      <c r="B311" t="s">
        <v>1449</v>
      </c>
      <c r="C311">
        <v>1</v>
      </c>
      <c r="D311" s="1" t="s">
        <v>1450</v>
      </c>
      <c r="E311" t="s">
        <v>2108</v>
      </c>
      <c r="F311">
        <v>1</v>
      </c>
      <c r="G311">
        <v>1700</v>
      </c>
      <c r="H311" s="2" t="s">
        <v>1437</v>
      </c>
    </row>
    <row r="312" spans="1:8" x14ac:dyDescent="0.2">
      <c r="A312" t="s">
        <v>2184</v>
      </c>
      <c r="B312" t="s">
        <v>1438</v>
      </c>
      <c r="C312">
        <v>2</v>
      </c>
      <c r="D312" s="1" t="s">
        <v>1439</v>
      </c>
      <c r="E312" t="s">
        <v>2187</v>
      </c>
      <c r="F312">
        <v>0</v>
      </c>
      <c r="G312">
        <v>0</v>
      </c>
    </row>
    <row r="313" spans="1:8" x14ac:dyDescent="0.2">
      <c r="A313" t="s">
        <v>2184</v>
      </c>
      <c r="B313" t="s">
        <v>1440</v>
      </c>
      <c r="C313">
        <v>2</v>
      </c>
      <c r="D313" s="1" t="s">
        <v>1441</v>
      </c>
      <c r="E313" t="s">
        <v>2187</v>
      </c>
      <c r="F313">
        <v>0</v>
      </c>
      <c r="G313">
        <v>0</v>
      </c>
    </row>
    <row r="314" spans="1:8" ht="102" x14ac:dyDescent="0.2">
      <c r="A314" t="s">
        <v>2184</v>
      </c>
      <c r="B314" t="s">
        <v>1442</v>
      </c>
      <c r="C314">
        <v>1</v>
      </c>
      <c r="D314" s="1" t="s">
        <v>1443</v>
      </c>
      <c r="E314" t="s">
        <v>2149</v>
      </c>
      <c r="F314">
        <v>1</v>
      </c>
      <c r="G314">
        <v>0</v>
      </c>
      <c r="H314" s="2" t="s">
        <v>1845</v>
      </c>
    </row>
    <row r="315" spans="1:8" ht="102" x14ac:dyDescent="0.2">
      <c r="A315" t="s">
        <v>2184</v>
      </c>
      <c r="B315" t="s">
        <v>1846</v>
      </c>
      <c r="C315">
        <v>1</v>
      </c>
      <c r="D315" s="1" t="s">
        <v>1847</v>
      </c>
      <c r="E315" t="s">
        <v>2149</v>
      </c>
      <c r="F315">
        <v>1</v>
      </c>
      <c r="G315">
        <v>0</v>
      </c>
      <c r="H315" s="2" t="s">
        <v>1848</v>
      </c>
    </row>
    <row r="316" spans="1:8" ht="102" x14ac:dyDescent="0.2">
      <c r="A316" t="s">
        <v>2184</v>
      </c>
      <c r="B316" t="s">
        <v>1849</v>
      </c>
      <c r="C316">
        <v>1</v>
      </c>
      <c r="D316" s="1" t="s">
        <v>1850</v>
      </c>
      <c r="E316" t="s">
        <v>2149</v>
      </c>
      <c r="F316">
        <v>1</v>
      </c>
      <c r="G316">
        <v>0</v>
      </c>
      <c r="H316" s="2" t="s">
        <v>1851</v>
      </c>
    </row>
    <row r="317" spans="1:8" x14ac:dyDescent="0.2">
      <c r="A317" t="s">
        <v>2184</v>
      </c>
      <c r="B317" t="s">
        <v>1852</v>
      </c>
      <c r="C317">
        <v>2</v>
      </c>
      <c r="D317" s="1" t="s">
        <v>1853</v>
      </c>
      <c r="E317" t="s">
        <v>2187</v>
      </c>
      <c r="F317">
        <v>0</v>
      </c>
      <c r="G317">
        <v>0</v>
      </c>
    </row>
    <row r="318" spans="1:8" ht="63.75" x14ac:dyDescent="0.2">
      <c r="A318" t="s">
        <v>2184</v>
      </c>
      <c r="B318" t="s">
        <v>1854</v>
      </c>
      <c r="C318">
        <v>1</v>
      </c>
      <c r="D318" s="1" t="s">
        <v>1855</v>
      </c>
      <c r="E318" t="s">
        <v>2204</v>
      </c>
      <c r="F318">
        <v>1</v>
      </c>
      <c r="G318">
        <v>25</v>
      </c>
      <c r="H318" s="1" t="s">
        <v>1856</v>
      </c>
    </row>
    <row r="319" spans="1:8" x14ac:dyDescent="0.2">
      <c r="A319" t="s">
        <v>2184</v>
      </c>
      <c r="B319" t="s">
        <v>1857</v>
      </c>
      <c r="C319">
        <v>2</v>
      </c>
      <c r="D319" s="1" t="s">
        <v>1858</v>
      </c>
      <c r="E319" t="s">
        <v>2187</v>
      </c>
      <c r="F319">
        <v>0</v>
      </c>
      <c r="G319">
        <v>0</v>
      </c>
    </row>
    <row r="320" spans="1:8" ht="76.5" x14ac:dyDescent="0.2">
      <c r="A320" t="s">
        <v>2184</v>
      </c>
      <c r="B320" t="s">
        <v>1859</v>
      </c>
      <c r="C320">
        <v>1</v>
      </c>
      <c r="D320" s="1" t="s">
        <v>1971</v>
      </c>
      <c r="E320" t="s">
        <v>2149</v>
      </c>
      <c r="F320">
        <v>1</v>
      </c>
      <c r="G320">
        <v>0</v>
      </c>
      <c r="H320" s="1" t="s">
        <v>1972</v>
      </c>
    </row>
    <row r="321" spans="1:8" x14ac:dyDescent="0.2">
      <c r="A321" t="s">
        <v>2184</v>
      </c>
      <c r="B321" t="s">
        <v>1973</v>
      </c>
      <c r="C321">
        <v>2</v>
      </c>
      <c r="D321" s="1" t="s">
        <v>1974</v>
      </c>
      <c r="E321" t="s">
        <v>2187</v>
      </c>
      <c r="F321">
        <v>0</v>
      </c>
      <c r="G321">
        <v>0</v>
      </c>
    </row>
    <row r="322" spans="1:8" ht="89.25" x14ac:dyDescent="0.2">
      <c r="A322" t="s">
        <v>2184</v>
      </c>
      <c r="B322" t="s">
        <v>1975</v>
      </c>
      <c r="C322">
        <v>1</v>
      </c>
      <c r="D322" s="1" t="s">
        <v>1976</v>
      </c>
      <c r="E322" t="s">
        <v>2149</v>
      </c>
      <c r="F322">
        <v>1</v>
      </c>
      <c r="G322">
        <v>0</v>
      </c>
      <c r="H322" s="1" t="s">
        <v>1977</v>
      </c>
    </row>
    <row r="323" spans="1:8" x14ac:dyDescent="0.2">
      <c r="A323" t="s">
        <v>2184</v>
      </c>
      <c r="B323" t="s">
        <v>1978</v>
      </c>
      <c r="C323">
        <v>2</v>
      </c>
      <c r="D323" s="1" t="s">
        <v>1979</v>
      </c>
      <c r="E323" t="s">
        <v>2187</v>
      </c>
      <c r="F323">
        <v>0</v>
      </c>
      <c r="G323">
        <v>0</v>
      </c>
    </row>
    <row r="324" spans="1:8" ht="76.5" x14ac:dyDescent="0.2">
      <c r="A324" t="s">
        <v>2184</v>
      </c>
      <c r="B324" t="s">
        <v>1980</v>
      </c>
      <c r="C324">
        <v>1</v>
      </c>
      <c r="D324" s="1" t="s">
        <v>1981</v>
      </c>
      <c r="E324" t="s">
        <v>2149</v>
      </c>
      <c r="F324">
        <v>1</v>
      </c>
      <c r="G324">
        <v>0</v>
      </c>
      <c r="H324" s="1" t="s">
        <v>1982</v>
      </c>
    </row>
    <row r="325" spans="1:8" x14ac:dyDescent="0.2">
      <c r="A325" t="s">
        <v>2184</v>
      </c>
      <c r="B325" t="s">
        <v>1983</v>
      </c>
      <c r="C325">
        <v>2</v>
      </c>
      <c r="D325" s="1" t="s">
        <v>1984</v>
      </c>
      <c r="E325" t="s">
        <v>2187</v>
      </c>
      <c r="F325">
        <v>0</v>
      </c>
      <c r="G325">
        <v>0</v>
      </c>
    </row>
    <row r="326" spans="1:8" ht="76.5" x14ac:dyDescent="0.2">
      <c r="A326" t="s">
        <v>2184</v>
      </c>
      <c r="B326" t="s">
        <v>1985</v>
      </c>
      <c r="C326">
        <v>1</v>
      </c>
      <c r="D326" s="1" t="s">
        <v>1986</v>
      </c>
      <c r="E326" t="s">
        <v>2149</v>
      </c>
      <c r="F326">
        <v>1</v>
      </c>
      <c r="G326">
        <v>0</v>
      </c>
      <c r="H326" s="1" t="s">
        <v>1987</v>
      </c>
    </row>
    <row r="327" spans="1:8" x14ac:dyDescent="0.2">
      <c r="A327" t="s">
        <v>2184</v>
      </c>
      <c r="B327" t="s">
        <v>1988</v>
      </c>
      <c r="C327">
        <v>2</v>
      </c>
      <c r="D327" s="1" t="s">
        <v>1989</v>
      </c>
      <c r="E327" t="s">
        <v>2187</v>
      </c>
      <c r="F327">
        <v>0</v>
      </c>
      <c r="G327">
        <v>0</v>
      </c>
    </row>
    <row r="328" spans="1:8" x14ac:dyDescent="0.2">
      <c r="A328" t="s">
        <v>2184</v>
      </c>
      <c r="B328" t="s">
        <v>1990</v>
      </c>
      <c r="C328">
        <v>2</v>
      </c>
      <c r="D328" s="1" t="s">
        <v>1991</v>
      </c>
      <c r="E328" t="s">
        <v>2187</v>
      </c>
      <c r="F328">
        <v>0</v>
      </c>
      <c r="G328">
        <v>0</v>
      </c>
    </row>
    <row r="329" spans="1:8" ht="89.25" x14ac:dyDescent="0.2">
      <c r="A329" t="s">
        <v>2184</v>
      </c>
      <c r="B329" t="s">
        <v>1992</v>
      </c>
      <c r="C329">
        <v>1</v>
      </c>
      <c r="D329" s="1" t="s">
        <v>1993</v>
      </c>
      <c r="E329" t="s">
        <v>1946</v>
      </c>
      <c r="F329">
        <v>1</v>
      </c>
      <c r="G329">
        <v>0</v>
      </c>
      <c r="H329" s="2" t="s">
        <v>1994</v>
      </c>
    </row>
    <row r="330" spans="1:8" ht="38.25" x14ac:dyDescent="0.2">
      <c r="A330" t="s">
        <v>2184</v>
      </c>
      <c r="B330" t="s">
        <v>1995</v>
      </c>
      <c r="C330">
        <v>2</v>
      </c>
      <c r="D330" s="1" t="s">
        <v>1996</v>
      </c>
      <c r="E330" t="s">
        <v>2187</v>
      </c>
      <c r="F330">
        <v>0</v>
      </c>
      <c r="G330">
        <v>0</v>
      </c>
    </row>
    <row r="331" spans="1:8" ht="114.75" x14ac:dyDescent="0.2">
      <c r="A331" t="s">
        <v>2184</v>
      </c>
      <c r="B331" t="s">
        <v>1997</v>
      </c>
      <c r="C331">
        <v>1</v>
      </c>
      <c r="D331" s="1" t="s">
        <v>1998</v>
      </c>
      <c r="E331" t="s">
        <v>1946</v>
      </c>
      <c r="F331">
        <v>1</v>
      </c>
      <c r="G331">
        <v>0</v>
      </c>
      <c r="H331" s="2" t="s">
        <v>1999</v>
      </c>
    </row>
    <row r="332" spans="1:8" ht="178.5" x14ac:dyDescent="0.2">
      <c r="A332" t="s">
        <v>2184</v>
      </c>
      <c r="B332" t="s">
        <v>2000</v>
      </c>
      <c r="C332">
        <v>1</v>
      </c>
      <c r="D332" s="1" t="s">
        <v>2001</v>
      </c>
      <c r="E332" t="s">
        <v>1946</v>
      </c>
      <c r="F332">
        <v>1</v>
      </c>
      <c r="G332">
        <v>330</v>
      </c>
      <c r="H332" s="2" t="s">
        <v>2002</v>
      </c>
    </row>
    <row r="333" spans="1:8" x14ac:dyDescent="0.2">
      <c r="A333" t="s">
        <v>2184</v>
      </c>
      <c r="B333" t="s">
        <v>2003</v>
      </c>
      <c r="C333">
        <v>2</v>
      </c>
      <c r="D333" s="1" t="s">
        <v>2004</v>
      </c>
      <c r="E333" t="s">
        <v>2187</v>
      </c>
      <c r="F333">
        <v>0</v>
      </c>
      <c r="G333">
        <v>0</v>
      </c>
    </row>
    <row r="334" spans="1:8" ht="89.25" x14ac:dyDescent="0.2">
      <c r="A334" t="s">
        <v>2184</v>
      </c>
      <c r="B334" t="s">
        <v>2005</v>
      </c>
      <c r="C334">
        <v>1</v>
      </c>
      <c r="D334" s="1" t="s">
        <v>2006</v>
      </c>
      <c r="E334" t="s">
        <v>1946</v>
      </c>
      <c r="F334">
        <v>1</v>
      </c>
      <c r="G334">
        <v>0</v>
      </c>
      <c r="H334" s="2" t="s">
        <v>1863</v>
      </c>
    </row>
    <row r="335" spans="1:8" x14ac:dyDescent="0.2">
      <c r="A335" t="s">
        <v>2184</v>
      </c>
      <c r="B335" t="s">
        <v>1864</v>
      </c>
      <c r="C335">
        <v>2</v>
      </c>
      <c r="D335" s="1" t="s">
        <v>1865</v>
      </c>
      <c r="E335" t="s">
        <v>2187</v>
      </c>
      <c r="F335">
        <v>0</v>
      </c>
      <c r="G335">
        <v>0</v>
      </c>
    </row>
    <row r="336" spans="1:8" ht="89.25" x14ac:dyDescent="0.2">
      <c r="A336" t="s">
        <v>2184</v>
      </c>
      <c r="B336" t="s">
        <v>1866</v>
      </c>
      <c r="C336">
        <v>1</v>
      </c>
      <c r="D336" s="1" t="s">
        <v>1867</v>
      </c>
      <c r="E336" t="s">
        <v>2204</v>
      </c>
      <c r="F336">
        <v>1</v>
      </c>
      <c r="G336">
        <v>0</v>
      </c>
      <c r="H336" s="2" t="s">
        <v>1868</v>
      </c>
    </row>
    <row r="337" spans="1:8" ht="89.25" x14ac:dyDescent="0.2">
      <c r="A337" t="s">
        <v>2184</v>
      </c>
      <c r="B337" t="s">
        <v>1869</v>
      </c>
      <c r="C337">
        <v>1</v>
      </c>
      <c r="D337" s="1" t="s">
        <v>1870</v>
      </c>
      <c r="E337" t="s">
        <v>2204</v>
      </c>
      <c r="F337">
        <v>1</v>
      </c>
      <c r="G337">
        <v>0</v>
      </c>
      <c r="H337" s="2" t="s">
        <v>1871</v>
      </c>
    </row>
    <row r="338" spans="1:8" ht="76.5" x14ac:dyDescent="0.2">
      <c r="A338" t="s">
        <v>2184</v>
      </c>
      <c r="B338" t="s">
        <v>1872</v>
      </c>
      <c r="C338">
        <v>1</v>
      </c>
      <c r="D338" s="1" t="s">
        <v>1873</v>
      </c>
      <c r="E338" t="s">
        <v>2204</v>
      </c>
      <c r="F338">
        <v>1</v>
      </c>
      <c r="G338">
        <v>0</v>
      </c>
      <c r="H338" s="2" t="s">
        <v>1874</v>
      </c>
    </row>
    <row r="339" spans="1:8" ht="89.25" x14ac:dyDescent="0.2">
      <c r="A339" t="s">
        <v>2184</v>
      </c>
      <c r="B339" t="s">
        <v>1875</v>
      </c>
      <c r="C339">
        <v>1</v>
      </c>
      <c r="D339" s="1" t="s">
        <v>1876</v>
      </c>
      <c r="E339" t="s">
        <v>2204</v>
      </c>
      <c r="F339">
        <v>1</v>
      </c>
      <c r="G339">
        <v>0</v>
      </c>
      <c r="H339" s="2" t="s">
        <v>2448</v>
      </c>
    </row>
    <row r="340" spans="1:8" ht="127.5" x14ac:dyDescent="0.2">
      <c r="A340" t="s">
        <v>2184</v>
      </c>
      <c r="B340" t="s">
        <v>2449</v>
      </c>
      <c r="C340">
        <v>1</v>
      </c>
      <c r="D340" s="1" t="s">
        <v>2450</v>
      </c>
      <c r="E340" t="s">
        <v>2149</v>
      </c>
      <c r="F340">
        <v>1</v>
      </c>
      <c r="G340">
        <v>0</v>
      </c>
      <c r="H340" s="2" t="s">
        <v>2451</v>
      </c>
    </row>
    <row r="341" spans="1:8" ht="25.5" x14ac:dyDescent="0.2">
      <c r="A341" t="s">
        <v>2184</v>
      </c>
      <c r="B341" t="s">
        <v>2452</v>
      </c>
      <c r="C341">
        <v>2</v>
      </c>
      <c r="D341" s="1" t="s">
        <v>2453</v>
      </c>
      <c r="E341" t="s">
        <v>2187</v>
      </c>
      <c r="F341">
        <v>0</v>
      </c>
      <c r="G341">
        <v>0</v>
      </c>
    </row>
    <row r="342" spans="1:8" ht="25.5" x14ac:dyDescent="0.2">
      <c r="A342" t="s">
        <v>2184</v>
      </c>
      <c r="B342" t="s">
        <v>2454</v>
      </c>
      <c r="C342">
        <v>2</v>
      </c>
      <c r="D342" s="1" t="s">
        <v>2455</v>
      </c>
      <c r="E342" t="s">
        <v>2187</v>
      </c>
      <c r="F342">
        <v>0</v>
      </c>
      <c r="G342">
        <v>0</v>
      </c>
    </row>
    <row r="343" spans="1:8" x14ac:dyDescent="0.2">
      <c r="A343" t="s">
        <v>2184</v>
      </c>
      <c r="B343" t="s">
        <v>2456</v>
      </c>
      <c r="C343">
        <v>2</v>
      </c>
      <c r="D343" s="1" t="s">
        <v>2457</v>
      </c>
      <c r="E343" t="s">
        <v>2187</v>
      </c>
      <c r="F343">
        <v>0</v>
      </c>
      <c r="G343">
        <v>0</v>
      </c>
    </row>
    <row r="344" spans="1:8" ht="127.5" x14ac:dyDescent="0.2">
      <c r="A344" t="s">
        <v>2184</v>
      </c>
      <c r="B344" t="s">
        <v>2458</v>
      </c>
      <c r="C344">
        <v>1</v>
      </c>
      <c r="D344" s="1" t="s">
        <v>2459</v>
      </c>
      <c r="E344" t="s">
        <v>2204</v>
      </c>
      <c r="F344">
        <v>1</v>
      </c>
      <c r="G344">
        <v>48</v>
      </c>
      <c r="H344" s="2" t="s">
        <v>2460</v>
      </c>
    </row>
    <row r="345" spans="1:8" ht="127.5" x14ac:dyDescent="0.2">
      <c r="A345" t="s">
        <v>2184</v>
      </c>
      <c r="B345" t="s">
        <v>2461</v>
      </c>
      <c r="C345">
        <v>1</v>
      </c>
      <c r="D345" s="1" t="s">
        <v>2462</v>
      </c>
      <c r="E345" t="s">
        <v>2204</v>
      </c>
      <c r="F345">
        <v>1</v>
      </c>
      <c r="G345">
        <v>64</v>
      </c>
      <c r="H345" s="2" t="s">
        <v>2463</v>
      </c>
    </row>
    <row r="346" spans="1:8" ht="127.5" x14ac:dyDescent="0.2">
      <c r="A346" t="s">
        <v>2184</v>
      </c>
      <c r="B346" t="s">
        <v>2464</v>
      </c>
      <c r="C346">
        <v>1</v>
      </c>
      <c r="D346" s="1" t="s">
        <v>1883</v>
      </c>
      <c r="E346" t="s">
        <v>2204</v>
      </c>
      <c r="F346">
        <v>1</v>
      </c>
      <c r="G346">
        <v>18</v>
      </c>
      <c r="H346" s="2" t="s">
        <v>1884</v>
      </c>
    </row>
    <row r="347" spans="1:8" ht="76.5" x14ac:dyDescent="0.2">
      <c r="A347" t="s">
        <v>2184</v>
      </c>
      <c r="B347" t="s">
        <v>1885</v>
      </c>
      <c r="C347">
        <v>1</v>
      </c>
      <c r="D347" s="1" t="s">
        <v>1886</v>
      </c>
      <c r="E347" t="s">
        <v>2204</v>
      </c>
      <c r="F347">
        <v>1</v>
      </c>
      <c r="G347">
        <v>27</v>
      </c>
      <c r="H347" s="2" t="s">
        <v>1887</v>
      </c>
    </row>
    <row r="348" spans="1:8" ht="76.5" x14ac:dyDescent="0.2">
      <c r="A348" t="s">
        <v>2184</v>
      </c>
      <c r="B348" t="s">
        <v>1888</v>
      </c>
      <c r="C348">
        <v>1</v>
      </c>
      <c r="D348" s="1" t="s">
        <v>1889</v>
      </c>
      <c r="E348" t="s">
        <v>2204</v>
      </c>
      <c r="F348">
        <v>1</v>
      </c>
      <c r="G348">
        <v>12</v>
      </c>
      <c r="H348" s="2" t="s">
        <v>1890</v>
      </c>
    </row>
    <row r="349" spans="1:8" ht="76.5" x14ac:dyDescent="0.2">
      <c r="A349" t="s">
        <v>2184</v>
      </c>
      <c r="B349" t="s">
        <v>1891</v>
      </c>
      <c r="C349">
        <v>1</v>
      </c>
      <c r="D349" s="1" t="s">
        <v>1892</v>
      </c>
      <c r="E349" t="s">
        <v>2204</v>
      </c>
      <c r="F349">
        <v>1</v>
      </c>
      <c r="G349">
        <v>6</v>
      </c>
      <c r="H349" s="2" t="s">
        <v>1893</v>
      </c>
    </row>
    <row r="350" spans="1:8" ht="76.5" x14ac:dyDescent="0.2">
      <c r="A350" t="s">
        <v>2184</v>
      </c>
      <c r="B350" t="s">
        <v>1894</v>
      </c>
      <c r="C350">
        <v>1</v>
      </c>
      <c r="D350" s="1" t="s">
        <v>1895</v>
      </c>
      <c r="E350" t="s">
        <v>2204</v>
      </c>
      <c r="F350">
        <v>1</v>
      </c>
      <c r="G350">
        <v>50</v>
      </c>
      <c r="H350" s="2" t="s">
        <v>1484</v>
      </c>
    </row>
    <row r="351" spans="1:8" ht="76.5" x14ac:dyDescent="0.2">
      <c r="A351" t="s">
        <v>2184</v>
      </c>
      <c r="B351" t="s">
        <v>1485</v>
      </c>
      <c r="C351">
        <v>1</v>
      </c>
      <c r="D351" s="1" t="s">
        <v>1486</v>
      </c>
      <c r="E351" t="s">
        <v>2204</v>
      </c>
      <c r="F351">
        <v>1</v>
      </c>
      <c r="G351">
        <v>0</v>
      </c>
      <c r="H351" s="2" t="s">
        <v>1487</v>
      </c>
    </row>
    <row r="352" spans="1:8" ht="89.25" x14ac:dyDescent="0.2">
      <c r="A352" t="s">
        <v>2184</v>
      </c>
      <c r="B352" t="s">
        <v>1488</v>
      </c>
      <c r="C352">
        <v>1</v>
      </c>
      <c r="D352" s="1" t="s">
        <v>1489</v>
      </c>
      <c r="E352" t="s">
        <v>2204</v>
      </c>
      <c r="F352">
        <v>1</v>
      </c>
      <c r="G352">
        <v>0</v>
      </c>
      <c r="H352" s="2" t="s">
        <v>1490</v>
      </c>
    </row>
    <row r="353" spans="1:8" x14ac:dyDescent="0.2">
      <c r="A353" t="s">
        <v>2184</v>
      </c>
      <c r="B353" t="s">
        <v>1491</v>
      </c>
      <c r="C353">
        <v>2</v>
      </c>
      <c r="D353" s="1" t="s">
        <v>1492</v>
      </c>
      <c r="E353" t="s">
        <v>2187</v>
      </c>
      <c r="F353">
        <v>0</v>
      </c>
      <c r="G353">
        <v>0</v>
      </c>
    </row>
    <row r="354" spans="1:8" ht="89.25" x14ac:dyDescent="0.2">
      <c r="A354" t="s">
        <v>2184</v>
      </c>
      <c r="B354" t="s">
        <v>1493</v>
      </c>
      <c r="C354">
        <v>1</v>
      </c>
      <c r="D354" s="1" t="s">
        <v>1494</v>
      </c>
      <c r="E354" t="s">
        <v>2204</v>
      </c>
      <c r="F354">
        <v>1</v>
      </c>
      <c r="G354">
        <v>18</v>
      </c>
      <c r="H354" s="2" t="s">
        <v>1495</v>
      </c>
    </row>
    <row r="355" spans="1:8" ht="89.25" x14ac:dyDescent="0.2">
      <c r="A355" t="s">
        <v>2184</v>
      </c>
      <c r="B355" t="s">
        <v>1496</v>
      </c>
      <c r="C355">
        <v>1</v>
      </c>
      <c r="D355" s="1" t="s">
        <v>1497</v>
      </c>
      <c r="E355" t="s">
        <v>2204</v>
      </c>
      <c r="F355">
        <v>1</v>
      </c>
      <c r="G355">
        <v>12</v>
      </c>
      <c r="H355" s="2" t="s">
        <v>1498</v>
      </c>
    </row>
    <row r="356" spans="1:8" ht="89.25" x14ac:dyDescent="0.2">
      <c r="A356" t="s">
        <v>2184</v>
      </c>
      <c r="B356" t="s">
        <v>1499</v>
      </c>
      <c r="C356">
        <v>1</v>
      </c>
      <c r="D356" s="1" t="s">
        <v>1519</v>
      </c>
      <c r="E356" t="s">
        <v>2204</v>
      </c>
      <c r="F356">
        <v>1</v>
      </c>
      <c r="G356">
        <v>23</v>
      </c>
      <c r="H356" s="2" t="s">
        <v>1520</v>
      </c>
    </row>
    <row r="357" spans="1:8" ht="89.25" x14ac:dyDescent="0.2">
      <c r="A357" t="s">
        <v>2184</v>
      </c>
      <c r="B357" t="s">
        <v>1521</v>
      </c>
      <c r="C357">
        <v>1</v>
      </c>
      <c r="D357" s="1" t="s">
        <v>1522</v>
      </c>
      <c r="E357" t="s">
        <v>2204</v>
      </c>
      <c r="F357">
        <v>1</v>
      </c>
      <c r="G357">
        <v>17</v>
      </c>
      <c r="H357" s="2" t="s">
        <v>1523</v>
      </c>
    </row>
    <row r="358" spans="1:8" ht="89.25" x14ac:dyDescent="0.2">
      <c r="A358" t="s">
        <v>2184</v>
      </c>
      <c r="B358" t="s">
        <v>1524</v>
      </c>
      <c r="C358">
        <v>1</v>
      </c>
      <c r="D358" s="1" t="s">
        <v>1525</v>
      </c>
      <c r="E358" t="s">
        <v>2204</v>
      </c>
      <c r="F358">
        <v>1</v>
      </c>
      <c r="G358">
        <v>34</v>
      </c>
      <c r="H358" s="2" t="s">
        <v>1167</v>
      </c>
    </row>
    <row r="359" spans="1:8" ht="89.25" x14ac:dyDescent="0.2">
      <c r="A359" t="s">
        <v>2184</v>
      </c>
      <c r="B359" t="s">
        <v>1168</v>
      </c>
      <c r="C359">
        <v>1</v>
      </c>
      <c r="D359" s="1" t="s">
        <v>1169</v>
      </c>
      <c r="E359" t="s">
        <v>2204</v>
      </c>
      <c r="F359">
        <v>1</v>
      </c>
      <c r="G359">
        <v>13</v>
      </c>
      <c r="H359" s="2" t="s">
        <v>1170</v>
      </c>
    </row>
    <row r="360" spans="1:8" ht="89.25" x14ac:dyDescent="0.2">
      <c r="A360" t="s">
        <v>2184</v>
      </c>
      <c r="B360" t="s">
        <v>1171</v>
      </c>
      <c r="C360">
        <v>1</v>
      </c>
      <c r="D360" s="1" t="s">
        <v>1172</v>
      </c>
      <c r="E360" t="s">
        <v>2204</v>
      </c>
      <c r="F360">
        <v>1</v>
      </c>
      <c r="G360">
        <v>12.5</v>
      </c>
      <c r="H360" s="2" t="s">
        <v>1173</v>
      </c>
    </row>
    <row r="361" spans="1:8" ht="38.25" x14ac:dyDescent="0.2">
      <c r="A361" t="s">
        <v>2184</v>
      </c>
      <c r="B361" t="s">
        <v>1174</v>
      </c>
      <c r="C361">
        <v>2</v>
      </c>
      <c r="D361" s="1" t="s">
        <v>1175</v>
      </c>
      <c r="E361" t="s">
        <v>2187</v>
      </c>
      <c r="F361">
        <v>0</v>
      </c>
      <c r="G361">
        <v>0</v>
      </c>
    </row>
    <row r="362" spans="1:8" ht="114.75" x14ac:dyDescent="0.2">
      <c r="A362" t="s">
        <v>2184</v>
      </c>
      <c r="B362" t="s">
        <v>1176</v>
      </c>
      <c r="C362">
        <v>1</v>
      </c>
      <c r="D362" s="1" t="s">
        <v>1177</v>
      </c>
      <c r="E362" t="s">
        <v>2204</v>
      </c>
      <c r="F362">
        <v>1</v>
      </c>
      <c r="G362">
        <v>0</v>
      </c>
      <c r="H362" s="2" t="s">
        <v>1178</v>
      </c>
    </row>
    <row r="363" spans="1:8" ht="114.75" x14ac:dyDescent="0.2">
      <c r="A363" t="s">
        <v>2184</v>
      </c>
      <c r="B363" t="s">
        <v>1179</v>
      </c>
      <c r="C363">
        <v>1</v>
      </c>
      <c r="D363" s="1" t="s">
        <v>1180</v>
      </c>
      <c r="E363" t="s">
        <v>2108</v>
      </c>
      <c r="F363">
        <v>1</v>
      </c>
      <c r="G363">
        <v>0</v>
      </c>
      <c r="H363" s="2" t="s">
        <v>1181</v>
      </c>
    </row>
    <row r="364" spans="1:8" x14ac:dyDescent="0.2">
      <c r="A364" t="s">
        <v>2184</v>
      </c>
      <c r="B364" t="s">
        <v>1182</v>
      </c>
      <c r="C364">
        <v>2</v>
      </c>
      <c r="D364" s="1" t="s">
        <v>1183</v>
      </c>
      <c r="E364" t="s">
        <v>2187</v>
      </c>
      <c r="F364">
        <v>0</v>
      </c>
      <c r="G364">
        <v>0</v>
      </c>
    </row>
    <row r="365" spans="1:8" ht="153" x14ac:dyDescent="0.2">
      <c r="A365" t="s">
        <v>2184</v>
      </c>
      <c r="B365" t="s">
        <v>1184</v>
      </c>
      <c r="C365">
        <v>1</v>
      </c>
      <c r="D365" s="1" t="s">
        <v>1185</v>
      </c>
      <c r="E365" t="s">
        <v>2204</v>
      </c>
      <c r="F365">
        <v>1</v>
      </c>
      <c r="G365">
        <v>54</v>
      </c>
      <c r="H365" s="2" t="s">
        <v>1538</v>
      </c>
    </row>
    <row r="366" spans="1:8" ht="140.25" x14ac:dyDescent="0.2">
      <c r="A366" t="s">
        <v>2184</v>
      </c>
      <c r="B366" t="s">
        <v>1539</v>
      </c>
      <c r="C366">
        <v>1</v>
      </c>
      <c r="D366" s="1" t="s">
        <v>1540</v>
      </c>
      <c r="E366" t="s">
        <v>2204</v>
      </c>
      <c r="F366">
        <v>1</v>
      </c>
      <c r="G366">
        <v>11</v>
      </c>
      <c r="H366" s="2" t="s">
        <v>1541</v>
      </c>
    </row>
    <row r="367" spans="1:8" ht="165.75" x14ac:dyDescent="0.2">
      <c r="A367" t="s">
        <v>2184</v>
      </c>
      <c r="B367" t="s">
        <v>1542</v>
      </c>
      <c r="C367">
        <v>1</v>
      </c>
      <c r="D367" s="1" t="s">
        <v>1543</v>
      </c>
      <c r="E367" t="s">
        <v>2204</v>
      </c>
      <c r="F367">
        <v>1</v>
      </c>
      <c r="G367">
        <v>40</v>
      </c>
      <c r="H367" s="2" t="s">
        <v>1544</v>
      </c>
    </row>
    <row r="368" spans="1:8" ht="25.5" x14ac:dyDescent="0.2">
      <c r="A368" t="s">
        <v>2184</v>
      </c>
      <c r="B368" t="s">
        <v>1545</v>
      </c>
      <c r="C368">
        <v>2</v>
      </c>
      <c r="D368" s="1" t="s">
        <v>1546</v>
      </c>
      <c r="E368" t="s">
        <v>2187</v>
      </c>
      <c r="F368">
        <v>0</v>
      </c>
      <c r="G368">
        <v>0</v>
      </c>
    </row>
    <row r="369" spans="1:8" ht="127.5" x14ac:dyDescent="0.2">
      <c r="A369" t="s">
        <v>2184</v>
      </c>
      <c r="B369" t="s">
        <v>1547</v>
      </c>
      <c r="C369">
        <v>1</v>
      </c>
      <c r="D369" s="1" t="s">
        <v>1548</v>
      </c>
      <c r="E369" t="s">
        <v>2204</v>
      </c>
      <c r="F369">
        <v>1</v>
      </c>
      <c r="G369">
        <v>9</v>
      </c>
      <c r="H369" s="2" t="s">
        <v>2564</v>
      </c>
    </row>
    <row r="370" spans="1:8" x14ac:dyDescent="0.2">
      <c r="A370" t="s">
        <v>2184</v>
      </c>
      <c r="B370" t="s">
        <v>2565</v>
      </c>
      <c r="C370">
        <v>2</v>
      </c>
      <c r="D370" s="1" t="s">
        <v>2566</v>
      </c>
      <c r="E370" t="s">
        <v>2187</v>
      </c>
      <c r="F370">
        <v>0</v>
      </c>
      <c r="G370">
        <v>0</v>
      </c>
    </row>
    <row r="371" spans="1:8" ht="153" x14ac:dyDescent="0.2">
      <c r="A371" t="s">
        <v>2184</v>
      </c>
      <c r="B371" t="s">
        <v>2567</v>
      </c>
      <c r="C371">
        <v>1</v>
      </c>
      <c r="D371" s="1" t="s">
        <v>2568</v>
      </c>
      <c r="E371" t="s">
        <v>2149</v>
      </c>
      <c r="F371">
        <v>1</v>
      </c>
      <c r="G371">
        <v>130</v>
      </c>
      <c r="H371" s="2" t="s">
        <v>2569</v>
      </c>
    </row>
    <row r="372" spans="1:8" ht="140.25" x14ac:dyDescent="0.2">
      <c r="A372" t="s">
        <v>2184</v>
      </c>
      <c r="B372" t="s">
        <v>2570</v>
      </c>
      <c r="C372">
        <v>1</v>
      </c>
      <c r="D372" s="1" t="s">
        <v>2571</v>
      </c>
      <c r="E372" t="s">
        <v>2149</v>
      </c>
      <c r="F372">
        <v>1</v>
      </c>
      <c r="G372">
        <v>98</v>
      </c>
      <c r="H372" s="2" t="s">
        <v>2572</v>
      </c>
    </row>
    <row r="373" spans="1:8" ht="165.75" x14ac:dyDescent="0.2">
      <c r="A373" t="s">
        <v>2184</v>
      </c>
      <c r="B373" t="s">
        <v>2573</v>
      </c>
      <c r="C373">
        <v>1</v>
      </c>
      <c r="D373" s="1" t="s">
        <v>2574</v>
      </c>
      <c r="E373" t="s">
        <v>2149</v>
      </c>
      <c r="F373">
        <v>1</v>
      </c>
      <c r="G373">
        <v>55</v>
      </c>
      <c r="H373" s="2" t="s">
        <v>1192</v>
      </c>
    </row>
    <row r="374" spans="1:8" ht="25.5" x14ac:dyDescent="0.2">
      <c r="A374" t="s">
        <v>2184</v>
      </c>
      <c r="B374" t="s">
        <v>1193</v>
      </c>
      <c r="C374">
        <v>2</v>
      </c>
      <c r="D374" s="1" t="s">
        <v>1194</v>
      </c>
      <c r="E374" t="s">
        <v>2187</v>
      </c>
      <c r="F374">
        <v>0</v>
      </c>
      <c r="G374">
        <v>0</v>
      </c>
    </row>
    <row r="375" spans="1:8" ht="76.5" x14ac:dyDescent="0.2">
      <c r="A375" t="s">
        <v>2184</v>
      </c>
      <c r="B375" t="s">
        <v>1195</v>
      </c>
      <c r="C375">
        <v>1</v>
      </c>
      <c r="D375" s="1" t="s">
        <v>1196</v>
      </c>
      <c r="E375" t="s">
        <v>2204</v>
      </c>
      <c r="F375">
        <v>1</v>
      </c>
      <c r="G375">
        <v>20</v>
      </c>
      <c r="H375" s="2" t="s">
        <v>1197</v>
      </c>
    </row>
    <row r="376" spans="1:8" ht="76.5" x14ac:dyDescent="0.2">
      <c r="A376" t="s">
        <v>2184</v>
      </c>
      <c r="B376" t="s">
        <v>1198</v>
      </c>
      <c r="C376">
        <v>1</v>
      </c>
      <c r="D376" s="1" t="s">
        <v>1555</v>
      </c>
      <c r="E376" t="s">
        <v>2204</v>
      </c>
      <c r="F376">
        <v>1</v>
      </c>
      <c r="G376">
        <v>22</v>
      </c>
      <c r="H376" s="2" t="s">
        <v>2011</v>
      </c>
    </row>
    <row r="377" spans="1:8" ht="153" x14ac:dyDescent="0.2">
      <c r="A377" t="s">
        <v>2184</v>
      </c>
      <c r="B377" t="s">
        <v>2012</v>
      </c>
      <c r="C377">
        <v>1</v>
      </c>
      <c r="D377" s="1" t="s">
        <v>2013</v>
      </c>
      <c r="E377" t="s">
        <v>2149</v>
      </c>
      <c r="F377">
        <v>1</v>
      </c>
      <c r="G377">
        <v>96</v>
      </c>
      <c r="H377" s="2" t="s">
        <v>2014</v>
      </c>
    </row>
    <row r="378" spans="1:8" ht="51" x14ac:dyDescent="0.2">
      <c r="A378" t="s">
        <v>2184</v>
      </c>
      <c r="B378" t="s">
        <v>2015</v>
      </c>
      <c r="C378">
        <v>2</v>
      </c>
      <c r="D378" s="1" t="s">
        <v>2016</v>
      </c>
      <c r="E378" t="s">
        <v>2187</v>
      </c>
      <c r="F378">
        <v>0</v>
      </c>
      <c r="G378">
        <v>0</v>
      </c>
    </row>
    <row r="379" spans="1:8" x14ac:dyDescent="0.2">
      <c r="A379" t="s">
        <v>2184</v>
      </c>
      <c r="B379" t="s">
        <v>2017</v>
      </c>
      <c r="C379">
        <v>2</v>
      </c>
      <c r="D379" s="1" t="s">
        <v>2018</v>
      </c>
      <c r="E379" t="s">
        <v>2187</v>
      </c>
      <c r="F379">
        <v>0</v>
      </c>
      <c r="G379">
        <v>0</v>
      </c>
    </row>
    <row r="380" spans="1:8" ht="89.25" x14ac:dyDescent="0.2">
      <c r="A380" t="s">
        <v>2184</v>
      </c>
      <c r="B380" t="s">
        <v>2019</v>
      </c>
      <c r="C380">
        <v>1</v>
      </c>
      <c r="D380" s="1" t="s">
        <v>2020</v>
      </c>
      <c r="E380" t="s">
        <v>1946</v>
      </c>
      <c r="F380">
        <v>1</v>
      </c>
      <c r="G380">
        <v>14</v>
      </c>
      <c r="H380" s="2" t="s">
        <v>2021</v>
      </c>
    </row>
    <row r="381" spans="1:8" ht="89.25" x14ac:dyDescent="0.2">
      <c r="A381" t="s">
        <v>2184</v>
      </c>
      <c r="B381" t="s">
        <v>2022</v>
      </c>
      <c r="C381">
        <v>1</v>
      </c>
      <c r="D381" s="1" t="s">
        <v>2023</v>
      </c>
      <c r="E381" t="s">
        <v>1946</v>
      </c>
      <c r="F381">
        <v>1</v>
      </c>
      <c r="G381">
        <v>16</v>
      </c>
      <c r="H381" s="2" t="s">
        <v>2024</v>
      </c>
    </row>
    <row r="382" spans="1:8" ht="38.25" x14ac:dyDescent="0.2">
      <c r="A382" t="s">
        <v>2184</v>
      </c>
      <c r="B382" t="s">
        <v>2025</v>
      </c>
      <c r="C382">
        <v>1</v>
      </c>
      <c r="D382" s="1" t="s">
        <v>2026</v>
      </c>
      <c r="E382" t="s">
        <v>1946</v>
      </c>
      <c r="F382">
        <v>1</v>
      </c>
      <c r="G382">
        <v>19</v>
      </c>
      <c r="H382" s="1" t="s">
        <v>2027</v>
      </c>
    </row>
    <row r="383" spans="1:8" ht="89.25" x14ac:dyDescent="0.2">
      <c r="A383" t="s">
        <v>2184</v>
      </c>
      <c r="B383" t="s">
        <v>2028</v>
      </c>
      <c r="C383">
        <v>1</v>
      </c>
      <c r="D383" s="1" t="s">
        <v>2029</v>
      </c>
      <c r="E383" t="s">
        <v>1946</v>
      </c>
      <c r="F383">
        <v>1</v>
      </c>
      <c r="G383">
        <v>3</v>
      </c>
      <c r="H383" s="2" t="s">
        <v>1573</v>
      </c>
    </row>
    <row r="384" spans="1:8" ht="89.25" x14ac:dyDescent="0.2">
      <c r="A384" t="s">
        <v>2184</v>
      </c>
      <c r="B384" t="s">
        <v>1574</v>
      </c>
      <c r="C384">
        <v>1</v>
      </c>
      <c r="D384" s="1" t="s">
        <v>1575</v>
      </c>
      <c r="E384" t="s">
        <v>1946</v>
      </c>
      <c r="F384">
        <v>1</v>
      </c>
      <c r="G384">
        <v>37</v>
      </c>
      <c r="H384" s="2" t="s">
        <v>1576</v>
      </c>
    </row>
    <row r="385" spans="1:8" ht="102" x14ac:dyDescent="0.2">
      <c r="A385" t="s">
        <v>2184</v>
      </c>
      <c r="B385" t="s">
        <v>1577</v>
      </c>
      <c r="C385">
        <v>1</v>
      </c>
      <c r="D385" s="1" t="s">
        <v>1578</v>
      </c>
      <c r="E385" t="s">
        <v>1946</v>
      </c>
      <c r="F385">
        <v>1</v>
      </c>
      <c r="G385">
        <v>6</v>
      </c>
      <c r="H385" s="2" t="s">
        <v>1579</v>
      </c>
    </row>
    <row r="386" spans="1:8" ht="114.75" x14ac:dyDescent="0.2">
      <c r="A386" t="s">
        <v>2184</v>
      </c>
      <c r="B386" t="s">
        <v>1580</v>
      </c>
      <c r="C386">
        <v>1</v>
      </c>
      <c r="D386" s="1" t="s">
        <v>1581</v>
      </c>
      <c r="E386" t="s">
        <v>1946</v>
      </c>
      <c r="F386">
        <v>1</v>
      </c>
      <c r="G386">
        <v>5</v>
      </c>
      <c r="H386" s="2" t="s">
        <v>1582</v>
      </c>
    </row>
    <row r="387" spans="1:8" ht="114.75" x14ac:dyDescent="0.2">
      <c r="A387" t="s">
        <v>2184</v>
      </c>
      <c r="B387" t="s">
        <v>1583</v>
      </c>
      <c r="C387">
        <v>1</v>
      </c>
      <c r="D387" s="1" t="s">
        <v>1581</v>
      </c>
      <c r="E387" t="s">
        <v>1946</v>
      </c>
      <c r="F387">
        <v>1</v>
      </c>
      <c r="G387">
        <v>5</v>
      </c>
      <c r="H387" s="2" t="s">
        <v>1235</v>
      </c>
    </row>
    <row r="388" spans="1:8" x14ac:dyDescent="0.2">
      <c r="A388" t="s">
        <v>2184</v>
      </c>
      <c r="B388" t="s">
        <v>1236</v>
      </c>
      <c r="C388">
        <v>2</v>
      </c>
      <c r="D388" s="1" t="s">
        <v>1237</v>
      </c>
      <c r="E388" t="s">
        <v>2187</v>
      </c>
      <c r="F388">
        <v>0</v>
      </c>
      <c r="G388">
        <v>0</v>
      </c>
    </row>
    <row r="389" spans="1:8" ht="63.75" x14ac:dyDescent="0.2">
      <c r="A389" t="s">
        <v>2184</v>
      </c>
      <c r="B389" t="s">
        <v>1238</v>
      </c>
      <c r="C389">
        <v>1</v>
      </c>
      <c r="D389" s="1" t="s">
        <v>1239</v>
      </c>
      <c r="E389" t="s">
        <v>2215</v>
      </c>
      <c r="F389">
        <v>1</v>
      </c>
      <c r="G389">
        <v>25</v>
      </c>
      <c r="H389" s="1" t="s">
        <v>1240</v>
      </c>
    </row>
    <row r="390" spans="1:8" ht="76.5" x14ac:dyDescent="0.2">
      <c r="A390" t="s">
        <v>2184</v>
      </c>
      <c r="B390" t="s">
        <v>1241</v>
      </c>
      <c r="C390">
        <v>1</v>
      </c>
      <c r="D390" s="1" t="s">
        <v>1242</v>
      </c>
      <c r="E390" t="s">
        <v>2215</v>
      </c>
      <c r="F390">
        <v>1</v>
      </c>
      <c r="G390">
        <v>54</v>
      </c>
      <c r="H390" s="1" t="s">
        <v>1243</v>
      </c>
    </row>
    <row r="391" spans="1:8" ht="127.5" x14ac:dyDescent="0.2">
      <c r="A391" t="s">
        <v>2184</v>
      </c>
      <c r="B391" t="s">
        <v>1244</v>
      </c>
      <c r="C391">
        <v>1</v>
      </c>
      <c r="D391" s="1" t="s">
        <v>1245</v>
      </c>
      <c r="E391" t="s">
        <v>1946</v>
      </c>
      <c r="F391">
        <v>1</v>
      </c>
      <c r="G391">
        <v>107</v>
      </c>
      <c r="H391" s="2" t="s">
        <v>1246</v>
      </c>
    </row>
    <row r="392" spans="1:8" ht="153" x14ac:dyDescent="0.2">
      <c r="A392" t="s">
        <v>2184</v>
      </c>
      <c r="B392" t="s">
        <v>1247</v>
      </c>
      <c r="C392">
        <v>1</v>
      </c>
      <c r="D392" s="1" t="s">
        <v>1248</v>
      </c>
      <c r="E392" t="s">
        <v>1946</v>
      </c>
      <c r="F392">
        <v>1</v>
      </c>
      <c r="G392">
        <v>250</v>
      </c>
      <c r="H392" s="2" t="s">
        <v>837</v>
      </c>
    </row>
    <row r="393" spans="1:8" ht="25.5" x14ac:dyDescent="0.2">
      <c r="A393" t="s">
        <v>2184</v>
      </c>
      <c r="B393" t="s">
        <v>838</v>
      </c>
      <c r="C393">
        <v>2</v>
      </c>
      <c r="D393" s="1" t="s">
        <v>839</v>
      </c>
      <c r="E393" t="s">
        <v>2187</v>
      </c>
      <c r="F393">
        <v>0</v>
      </c>
      <c r="G393">
        <v>0</v>
      </c>
    </row>
    <row r="394" spans="1:8" x14ac:dyDescent="0.2">
      <c r="A394" t="s">
        <v>2184</v>
      </c>
      <c r="B394" t="s">
        <v>840</v>
      </c>
      <c r="C394">
        <v>2</v>
      </c>
      <c r="D394" s="1" t="s">
        <v>2018</v>
      </c>
      <c r="E394" t="s">
        <v>2187</v>
      </c>
      <c r="F394">
        <v>0</v>
      </c>
      <c r="G394">
        <v>0</v>
      </c>
    </row>
    <row r="395" spans="1:8" ht="89.25" x14ac:dyDescent="0.2">
      <c r="A395" t="s">
        <v>2184</v>
      </c>
      <c r="B395" t="s">
        <v>841</v>
      </c>
      <c r="C395">
        <v>1</v>
      </c>
      <c r="D395" s="1" t="s">
        <v>842</v>
      </c>
      <c r="E395" t="s">
        <v>2149</v>
      </c>
      <c r="F395">
        <v>1</v>
      </c>
      <c r="G395">
        <v>2.5</v>
      </c>
      <c r="H395" s="2" t="s">
        <v>843</v>
      </c>
    </row>
    <row r="396" spans="1:8" ht="89.25" x14ac:dyDescent="0.2">
      <c r="A396" t="s">
        <v>2184</v>
      </c>
      <c r="B396" t="s">
        <v>844</v>
      </c>
      <c r="C396">
        <v>1</v>
      </c>
      <c r="D396" s="1" t="s">
        <v>845</v>
      </c>
      <c r="E396" t="s">
        <v>2149</v>
      </c>
      <c r="F396">
        <v>1</v>
      </c>
      <c r="G396">
        <v>1.8</v>
      </c>
      <c r="H396" s="2" t="s">
        <v>846</v>
      </c>
    </row>
    <row r="397" spans="1:8" ht="102" x14ac:dyDescent="0.2">
      <c r="A397" t="s">
        <v>2184</v>
      </c>
      <c r="B397" t="s">
        <v>847</v>
      </c>
      <c r="C397">
        <v>1</v>
      </c>
      <c r="D397" s="1" t="s">
        <v>848</v>
      </c>
      <c r="E397" t="s">
        <v>2149</v>
      </c>
      <c r="F397">
        <v>1</v>
      </c>
      <c r="G397">
        <v>1.5</v>
      </c>
      <c r="H397" s="2" t="s">
        <v>1255</v>
      </c>
    </row>
    <row r="398" spans="1:8" ht="114.75" x14ac:dyDescent="0.2">
      <c r="A398" t="s">
        <v>2184</v>
      </c>
      <c r="B398" t="s">
        <v>1256</v>
      </c>
      <c r="C398">
        <v>1</v>
      </c>
      <c r="D398" s="1" t="s">
        <v>1626</v>
      </c>
      <c r="E398" t="s">
        <v>2149</v>
      </c>
      <c r="F398">
        <v>1</v>
      </c>
      <c r="G398">
        <v>1.3</v>
      </c>
      <c r="H398" s="2" t="s">
        <v>1627</v>
      </c>
    </row>
    <row r="399" spans="1:8" ht="102" x14ac:dyDescent="0.2">
      <c r="A399" t="s">
        <v>2184</v>
      </c>
      <c r="B399" t="s">
        <v>1628</v>
      </c>
      <c r="C399">
        <v>1</v>
      </c>
      <c r="D399" s="1" t="s">
        <v>1629</v>
      </c>
      <c r="E399" t="s">
        <v>2149</v>
      </c>
      <c r="F399">
        <v>1</v>
      </c>
      <c r="G399">
        <v>8</v>
      </c>
      <c r="H399" s="2" t="s">
        <v>1630</v>
      </c>
    </row>
    <row r="400" spans="1:8" ht="89.25" x14ac:dyDescent="0.2">
      <c r="A400" t="s">
        <v>2184</v>
      </c>
      <c r="B400" t="s">
        <v>1631</v>
      </c>
      <c r="C400">
        <v>1</v>
      </c>
      <c r="D400" s="1" t="s">
        <v>1632</v>
      </c>
      <c r="E400" t="s">
        <v>2149</v>
      </c>
      <c r="F400">
        <v>1</v>
      </c>
      <c r="G400">
        <v>3.5</v>
      </c>
      <c r="H400" s="2" t="s">
        <v>1633</v>
      </c>
    </row>
    <row r="401" spans="1:8" ht="89.25" x14ac:dyDescent="0.2">
      <c r="A401" t="s">
        <v>2184</v>
      </c>
      <c r="B401" t="s">
        <v>1634</v>
      </c>
      <c r="C401">
        <v>1</v>
      </c>
      <c r="D401" s="1" t="s">
        <v>1635</v>
      </c>
      <c r="E401" t="s">
        <v>2149</v>
      </c>
      <c r="F401">
        <v>1</v>
      </c>
      <c r="G401">
        <v>3.3</v>
      </c>
      <c r="H401" s="2" t="s">
        <v>1636</v>
      </c>
    </row>
    <row r="402" spans="1:8" ht="102" x14ac:dyDescent="0.2">
      <c r="A402" t="s">
        <v>2184</v>
      </c>
      <c r="B402" t="s">
        <v>1637</v>
      </c>
      <c r="C402">
        <v>1</v>
      </c>
      <c r="D402" s="1" t="s">
        <v>1638</v>
      </c>
      <c r="E402" t="s">
        <v>2149</v>
      </c>
      <c r="F402">
        <v>1</v>
      </c>
      <c r="G402">
        <v>3</v>
      </c>
      <c r="H402" s="2" t="s">
        <v>2100</v>
      </c>
    </row>
    <row r="403" spans="1:8" ht="89.25" x14ac:dyDescent="0.2">
      <c r="A403" t="s">
        <v>2184</v>
      </c>
      <c r="B403" t="s">
        <v>2101</v>
      </c>
      <c r="C403">
        <v>1</v>
      </c>
      <c r="D403" s="1" t="s">
        <v>2102</v>
      </c>
      <c r="E403" t="s">
        <v>2149</v>
      </c>
      <c r="F403">
        <v>1</v>
      </c>
      <c r="G403">
        <v>1.8</v>
      </c>
      <c r="H403" s="2" t="s">
        <v>1640</v>
      </c>
    </row>
    <row r="404" spans="1:8" ht="153" x14ac:dyDescent="0.2">
      <c r="A404" t="s">
        <v>2184</v>
      </c>
      <c r="B404" t="s">
        <v>1641</v>
      </c>
      <c r="C404">
        <v>1</v>
      </c>
      <c r="D404" s="1" t="s">
        <v>1642</v>
      </c>
      <c r="E404" t="s">
        <v>2149</v>
      </c>
      <c r="F404">
        <v>1</v>
      </c>
      <c r="G404">
        <v>5.8</v>
      </c>
      <c r="H404" s="2" t="s">
        <v>1643</v>
      </c>
    </row>
    <row r="405" spans="1:8" ht="140.25" x14ac:dyDescent="0.2">
      <c r="A405" t="s">
        <v>2184</v>
      </c>
      <c r="B405" t="s">
        <v>1644</v>
      </c>
      <c r="C405">
        <v>1</v>
      </c>
      <c r="D405" s="1" t="s">
        <v>1645</v>
      </c>
      <c r="E405" t="s">
        <v>2149</v>
      </c>
      <c r="F405">
        <v>1</v>
      </c>
      <c r="G405">
        <v>9</v>
      </c>
      <c r="H405" s="2" t="s">
        <v>1646</v>
      </c>
    </row>
    <row r="406" spans="1:8" x14ac:dyDescent="0.2">
      <c r="A406" t="s">
        <v>2184</v>
      </c>
      <c r="B406" t="s">
        <v>1647</v>
      </c>
      <c r="C406">
        <v>2</v>
      </c>
      <c r="D406" s="1" t="s">
        <v>1237</v>
      </c>
      <c r="E406" t="s">
        <v>2187</v>
      </c>
      <c r="F406">
        <v>0</v>
      </c>
      <c r="G406">
        <v>0</v>
      </c>
    </row>
    <row r="407" spans="1:8" ht="153" x14ac:dyDescent="0.2">
      <c r="A407" t="s">
        <v>2184</v>
      </c>
      <c r="B407" t="s">
        <v>1648</v>
      </c>
      <c r="C407">
        <v>1</v>
      </c>
      <c r="D407" s="1" t="s">
        <v>1649</v>
      </c>
      <c r="E407" t="s">
        <v>2149</v>
      </c>
      <c r="F407">
        <v>1</v>
      </c>
      <c r="G407">
        <v>6.5</v>
      </c>
      <c r="H407" s="2" t="s">
        <v>2241</v>
      </c>
    </row>
    <row r="408" spans="1:8" ht="102" x14ac:dyDescent="0.2">
      <c r="A408" t="s">
        <v>2184</v>
      </c>
      <c r="B408" t="s">
        <v>2242</v>
      </c>
      <c r="C408">
        <v>1</v>
      </c>
      <c r="D408" s="1" t="s">
        <v>2243</v>
      </c>
      <c r="E408" t="s">
        <v>2149</v>
      </c>
      <c r="F408">
        <v>1</v>
      </c>
      <c r="G408">
        <v>20</v>
      </c>
      <c r="H408" s="2" t="s">
        <v>1657</v>
      </c>
    </row>
    <row r="409" spans="1:8" ht="114.75" x14ac:dyDescent="0.2">
      <c r="A409" t="s">
        <v>2184</v>
      </c>
      <c r="B409" t="s">
        <v>1658</v>
      </c>
      <c r="C409">
        <v>1</v>
      </c>
      <c r="D409" s="1" t="s">
        <v>1659</v>
      </c>
      <c r="E409" t="s">
        <v>2149</v>
      </c>
      <c r="F409">
        <v>1</v>
      </c>
      <c r="G409">
        <v>0</v>
      </c>
      <c r="H409" s="2" t="s">
        <v>2117</v>
      </c>
    </row>
    <row r="410" spans="1:8" ht="89.25" x14ac:dyDescent="0.2">
      <c r="A410" t="s">
        <v>2184</v>
      </c>
      <c r="B410" t="s">
        <v>2118</v>
      </c>
      <c r="C410">
        <v>1</v>
      </c>
      <c r="D410" s="1" t="s">
        <v>2119</v>
      </c>
      <c r="E410" t="s">
        <v>2149</v>
      </c>
      <c r="F410">
        <v>1</v>
      </c>
      <c r="G410">
        <v>2.75</v>
      </c>
      <c r="H410" s="2" t="s">
        <v>2120</v>
      </c>
    </row>
    <row r="411" spans="1:8" ht="38.25" x14ac:dyDescent="0.2">
      <c r="A411" t="s">
        <v>2184</v>
      </c>
      <c r="B411" t="s">
        <v>2121</v>
      </c>
      <c r="C411">
        <v>1</v>
      </c>
      <c r="D411" s="1" t="s">
        <v>2122</v>
      </c>
      <c r="E411" t="s">
        <v>2149</v>
      </c>
      <c r="F411">
        <v>1</v>
      </c>
      <c r="G411">
        <v>0.35</v>
      </c>
      <c r="H411" s="1" t="s">
        <v>2123</v>
      </c>
    </row>
    <row r="412" spans="1:8" ht="165.75" x14ac:dyDescent="0.2">
      <c r="A412" t="s">
        <v>2184</v>
      </c>
      <c r="B412" t="s">
        <v>2124</v>
      </c>
      <c r="C412">
        <v>1</v>
      </c>
      <c r="D412" s="1" t="s">
        <v>2125</v>
      </c>
      <c r="E412" t="s">
        <v>2215</v>
      </c>
      <c r="F412">
        <v>1</v>
      </c>
      <c r="G412">
        <v>51</v>
      </c>
      <c r="H412" s="2" t="s">
        <v>2126</v>
      </c>
    </row>
    <row r="413" spans="1:8" ht="51" x14ac:dyDescent="0.2">
      <c r="A413" t="s">
        <v>2184</v>
      </c>
      <c r="B413" t="s">
        <v>2127</v>
      </c>
      <c r="C413">
        <v>1</v>
      </c>
      <c r="D413" s="1" t="s">
        <v>2122</v>
      </c>
      <c r="E413" t="s">
        <v>2215</v>
      </c>
      <c r="F413">
        <v>1</v>
      </c>
      <c r="G413">
        <v>15.5</v>
      </c>
      <c r="H413" s="1" t="s">
        <v>2128</v>
      </c>
    </row>
    <row r="414" spans="1:8" ht="165.75" x14ac:dyDescent="0.2">
      <c r="A414" t="s">
        <v>2184</v>
      </c>
      <c r="B414" t="s">
        <v>2129</v>
      </c>
      <c r="C414">
        <v>1</v>
      </c>
      <c r="D414" s="1" t="s">
        <v>2130</v>
      </c>
      <c r="E414" t="s">
        <v>2215</v>
      </c>
      <c r="F414">
        <v>1</v>
      </c>
      <c r="G414">
        <v>71</v>
      </c>
      <c r="H414" s="2" t="s">
        <v>2131</v>
      </c>
    </row>
    <row r="415" spans="1:8" ht="127.5" x14ac:dyDescent="0.2">
      <c r="A415" t="s">
        <v>2184</v>
      </c>
      <c r="B415" t="s">
        <v>2132</v>
      </c>
      <c r="C415">
        <v>1</v>
      </c>
      <c r="D415" s="1" t="s">
        <v>2133</v>
      </c>
      <c r="E415" t="s">
        <v>2215</v>
      </c>
      <c r="F415">
        <v>1</v>
      </c>
      <c r="G415">
        <v>0</v>
      </c>
      <c r="H415" s="2" t="s">
        <v>1666</v>
      </c>
    </row>
    <row r="416" spans="1:8" ht="153" x14ac:dyDescent="0.2">
      <c r="A416" t="s">
        <v>2184</v>
      </c>
      <c r="B416" t="s">
        <v>1667</v>
      </c>
      <c r="C416">
        <v>1</v>
      </c>
      <c r="D416" s="1" t="s">
        <v>1668</v>
      </c>
      <c r="E416" t="s">
        <v>2215</v>
      </c>
      <c r="F416">
        <v>1</v>
      </c>
      <c r="G416">
        <v>0</v>
      </c>
      <c r="H416" s="2" t="s">
        <v>1669</v>
      </c>
    </row>
    <row r="417" spans="1:8" ht="89.25" x14ac:dyDescent="0.2">
      <c r="A417" t="s">
        <v>2184</v>
      </c>
      <c r="B417" t="s">
        <v>1670</v>
      </c>
      <c r="C417">
        <v>1</v>
      </c>
      <c r="D417" s="1" t="s">
        <v>1671</v>
      </c>
      <c r="E417" t="s">
        <v>2149</v>
      </c>
      <c r="F417">
        <v>1</v>
      </c>
      <c r="G417">
        <v>0</v>
      </c>
      <c r="H417" s="2" t="s">
        <v>1672</v>
      </c>
    </row>
    <row r="418" spans="1:8" ht="25.5" x14ac:dyDescent="0.2">
      <c r="A418" t="s">
        <v>2184</v>
      </c>
      <c r="B418" t="s">
        <v>1673</v>
      </c>
      <c r="C418">
        <v>2</v>
      </c>
      <c r="D418" s="1" t="s">
        <v>1674</v>
      </c>
      <c r="E418" t="s">
        <v>2187</v>
      </c>
      <c r="F418">
        <v>0</v>
      </c>
      <c r="G418">
        <v>0</v>
      </c>
    </row>
    <row r="419" spans="1:8" ht="153" x14ac:dyDescent="0.2">
      <c r="A419" t="s">
        <v>2184</v>
      </c>
      <c r="B419" t="s">
        <v>1675</v>
      </c>
      <c r="C419">
        <v>1</v>
      </c>
      <c r="D419" s="1" t="s">
        <v>1676</v>
      </c>
      <c r="E419" t="s">
        <v>2149</v>
      </c>
      <c r="F419">
        <v>1</v>
      </c>
      <c r="G419">
        <v>33.5</v>
      </c>
      <c r="H419" s="2" t="s">
        <v>1304</v>
      </c>
    </row>
    <row r="420" spans="1:8" ht="51" x14ac:dyDescent="0.2">
      <c r="A420" t="s">
        <v>2184</v>
      </c>
      <c r="B420" t="s">
        <v>1305</v>
      </c>
      <c r="C420">
        <v>1</v>
      </c>
      <c r="D420" s="1" t="s">
        <v>1306</v>
      </c>
      <c r="E420" t="s">
        <v>2149</v>
      </c>
      <c r="F420">
        <v>1</v>
      </c>
      <c r="G420">
        <v>4.2</v>
      </c>
      <c r="H420" s="1" t="s">
        <v>1307</v>
      </c>
    </row>
    <row r="421" spans="1:8" ht="127.5" x14ac:dyDescent="0.2">
      <c r="A421" t="s">
        <v>2184</v>
      </c>
      <c r="B421" t="s">
        <v>1308</v>
      </c>
      <c r="C421">
        <v>1</v>
      </c>
      <c r="D421" s="1" t="s">
        <v>1309</v>
      </c>
      <c r="E421" t="s">
        <v>2149</v>
      </c>
      <c r="F421">
        <v>1</v>
      </c>
      <c r="G421">
        <v>48.8</v>
      </c>
      <c r="H421" s="2" t="s">
        <v>1310</v>
      </c>
    </row>
    <row r="422" spans="1:8" ht="127.5" x14ac:dyDescent="0.2">
      <c r="A422" t="s">
        <v>2184</v>
      </c>
      <c r="B422" t="s">
        <v>1311</v>
      </c>
      <c r="C422">
        <v>1</v>
      </c>
      <c r="D422" s="1" t="s">
        <v>1312</v>
      </c>
      <c r="E422" t="s">
        <v>2149</v>
      </c>
      <c r="F422">
        <v>1</v>
      </c>
      <c r="G422">
        <v>70</v>
      </c>
      <c r="H422" s="2" t="s">
        <v>1338</v>
      </c>
    </row>
    <row r="423" spans="1:8" ht="25.5" x14ac:dyDescent="0.2">
      <c r="A423" t="s">
        <v>2184</v>
      </c>
      <c r="B423" t="s">
        <v>1339</v>
      </c>
      <c r="C423">
        <v>2</v>
      </c>
      <c r="D423" s="1" t="s">
        <v>1340</v>
      </c>
      <c r="E423" t="s">
        <v>2187</v>
      </c>
      <c r="F423">
        <v>0</v>
      </c>
      <c r="G423">
        <v>0</v>
      </c>
    </row>
    <row r="424" spans="1:8" ht="165.75" x14ac:dyDescent="0.2">
      <c r="A424" t="s">
        <v>2184</v>
      </c>
      <c r="B424" t="s">
        <v>1341</v>
      </c>
      <c r="C424">
        <v>1</v>
      </c>
      <c r="D424" s="1" t="s">
        <v>966</v>
      </c>
      <c r="E424" t="s">
        <v>2149</v>
      </c>
      <c r="F424">
        <v>1</v>
      </c>
      <c r="G424">
        <v>0</v>
      </c>
      <c r="H424" s="2" t="s">
        <v>967</v>
      </c>
    </row>
    <row r="425" spans="1:8" ht="25.5" x14ac:dyDescent="0.2">
      <c r="A425" t="s">
        <v>2184</v>
      </c>
      <c r="B425" t="s">
        <v>968</v>
      </c>
      <c r="C425">
        <v>2</v>
      </c>
      <c r="D425" s="1" t="s">
        <v>969</v>
      </c>
      <c r="E425" t="s">
        <v>2149</v>
      </c>
      <c r="F425">
        <v>1</v>
      </c>
      <c r="G425">
        <v>0</v>
      </c>
    </row>
    <row r="426" spans="1:8" ht="76.5" x14ac:dyDescent="0.2">
      <c r="A426" t="s">
        <v>2184</v>
      </c>
      <c r="B426" t="s">
        <v>970</v>
      </c>
      <c r="C426">
        <v>1</v>
      </c>
      <c r="D426" s="1" t="s">
        <v>971</v>
      </c>
      <c r="E426" t="s">
        <v>1946</v>
      </c>
      <c r="F426">
        <v>1</v>
      </c>
      <c r="G426">
        <v>30</v>
      </c>
      <c r="H426" s="2" t="s">
        <v>972</v>
      </c>
    </row>
    <row r="427" spans="1:8" ht="76.5" x14ac:dyDescent="0.2">
      <c r="A427" t="s">
        <v>2184</v>
      </c>
      <c r="B427" t="s">
        <v>973</v>
      </c>
      <c r="C427">
        <v>1</v>
      </c>
      <c r="D427" s="1" t="s">
        <v>974</v>
      </c>
      <c r="E427" t="s">
        <v>1946</v>
      </c>
      <c r="F427">
        <v>1</v>
      </c>
      <c r="G427">
        <v>25</v>
      </c>
      <c r="H427" s="2" t="s">
        <v>975</v>
      </c>
    </row>
    <row r="428" spans="1:8" ht="25.5" x14ac:dyDescent="0.2">
      <c r="A428" t="s">
        <v>2184</v>
      </c>
      <c r="B428" t="s">
        <v>976</v>
      </c>
      <c r="C428">
        <v>2</v>
      </c>
      <c r="D428" s="1" t="s">
        <v>977</v>
      </c>
      <c r="E428" t="s">
        <v>2187</v>
      </c>
      <c r="F428">
        <v>0</v>
      </c>
      <c r="G428">
        <v>0</v>
      </c>
    </row>
    <row r="429" spans="1:8" ht="89.25" x14ac:dyDescent="0.2">
      <c r="A429" t="s">
        <v>2184</v>
      </c>
      <c r="B429" t="s">
        <v>978</v>
      </c>
      <c r="C429">
        <v>1</v>
      </c>
      <c r="D429" s="1" t="s">
        <v>979</v>
      </c>
      <c r="E429" t="s">
        <v>1946</v>
      </c>
      <c r="F429">
        <v>1</v>
      </c>
      <c r="G429">
        <v>150</v>
      </c>
      <c r="H429" s="2" t="s">
        <v>980</v>
      </c>
    </row>
    <row r="430" spans="1:8" x14ac:dyDescent="0.2">
      <c r="A430" t="s">
        <v>2184</v>
      </c>
      <c r="B430" t="s">
        <v>981</v>
      </c>
      <c r="C430">
        <v>2</v>
      </c>
      <c r="D430" s="1" t="s">
        <v>982</v>
      </c>
      <c r="E430" t="s">
        <v>2187</v>
      </c>
      <c r="F430">
        <v>0</v>
      </c>
      <c r="G430">
        <v>0</v>
      </c>
    </row>
    <row r="431" spans="1:8" x14ac:dyDescent="0.2">
      <c r="A431" t="s">
        <v>2184</v>
      </c>
      <c r="B431" t="s">
        <v>983</v>
      </c>
      <c r="C431">
        <v>2</v>
      </c>
      <c r="D431" s="1" t="s">
        <v>984</v>
      </c>
      <c r="E431" t="s">
        <v>2187</v>
      </c>
      <c r="F431">
        <v>0</v>
      </c>
      <c r="G431">
        <v>0</v>
      </c>
    </row>
    <row r="432" spans="1:8" ht="153" x14ac:dyDescent="0.2">
      <c r="A432" t="s">
        <v>2184</v>
      </c>
      <c r="B432" t="s">
        <v>985</v>
      </c>
      <c r="C432">
        <v>1</v>
      </c>
      <c r="D432" s="1" t="s">
        <v>986</v>
      </c>
      <c r="E432" t="s">
        <v>2149</v>
      </c>
      <c r="F432">
        <v>1</v>
      </c>
      <c r="G432">
        <v>130</v>
      </c>
      <c r="H432" s="2" t="s">
        <v>987</v>
      </c>
    </row>
    <row r="433" spans="1:8" ht="204" x14ac:dyDescent="0.2">
      <c r="A433" t="s">
        <v>2184</v>
      </c>
      <c r="B433" t="s">
        <v>988</v>
      </c>
      <c r="C433">
        <v>1</v>
      </c>
      <c r="D433" s="1" t="s">
        <v>989</v>
      </c>
      <c r="E433" t="s">
        <v>2149</v>
      </c>
      <c r="F433">
        <v>1</v>
      </c>
      <c r="G433">
        <v>98</v>
      </c>
      <c r="H433" s="2" t="s">
        <v>1370</v>
      </c>
    </row>
    <row r="434" spans="1:8" ht="191.25" x14ac:dyDescent="0.2">
      <c r="A434" t="s">
        <v>2184</v>
      </c>
      <c r="B434" t="s">
        <v>1371</v>
      </c>
      <c r="C434">
        <v>1</v>
      </c>
      <c r="D434" s="1" t="s">
        <v>1372</v>
      </c>
      <c r="E434" t="s">
        <v>2149</v>
      </c>
      <c r="F434">
        <v>1</v>
      </c>
      <c r="G434">
        <v>180</v>
      </c>
      <c r="H434" s="2" t="s">
        <v>1373</v>
      </c>
    </row>
    <row r="435" spans="1:8" ht="165.75" x14ac:dyDescent="0.2">
      <c r="A435" t="s">
        <v>2184</v>
      </c>
      <c r="B435" t="s">
        <v>1374</v>
      </c>
      <c r="C435">
        <v>1</v>
      </c>
      <c r="D435" s="1" t="s">
        <v>1375</v>
      </c>
      <c r="E435" t="s">
        <v>2149</v>
      </c>
      <c r="F435">
        <v>1</v>
      </c>
      <c r="G435">
        <v>140</v>
      </c>
      <c r="H435" s="2" t="s">
        <v>1753</v>
      </c>
    </row>
    <row r="436" spans="1:8" ht="165.75" x14ac:dyDescent="0.2">
      <c r="A436" t="s">
        <v>2184</v>
      </c>
      <c r="B436" t="s">
        <v>1754</v>
      </c>
      <c r="C436">
        <v>1</v>
      </c>
      <c r="D436" s="1" t="s">
        <v>1755</v>
      </c>
      <c r="E436" t="s">
        <v>2149</v>
      </c>
      <c r="F436">
        <v>1</v>
      </c>
      <c r="G436">
        <v>0</v>
      </c>
      <c r="H436" s="2" t="s">
        <v>1756</v>
      </c>
    </row>
    <row r="437" spans="1:8" ht="153" x14ac:dyDescent="0.2">
      <c r="A437" t="s">
        <v>2184</v>
      </c>
      <c r="B437" t="s">
        <v>1757</v>
      </c>
      <c r="C437">
        <v>1</v>
      </c>
      <c r="D437" s="1" t="s">
        <v>1758</v>
      </c>
      <c r="E437" t="s">
        <v>2149</v>
      </c>
      <c r="F437">
        <v>1</v>
      </c>
      <c r="G437">
        <v>0</v>
      </c>
      <c r="H437" s="2" t="s">
        <v>1759</v>
      </c>
    </row>
    <row r="438" spans="1:8" ht="102" x14ac:dyDescent="0.2">
      <c r="A438" t="s">
        <v>2184</v>
      </c>
      <c r="B438" t="s">
        <v>1760</v>
      </c>
      <c r="C438">
        <v>1</v>
      </c>
      <c r="D438" s="1" t="s">
        <v>1385</v>
      </c>
      <c r="E438" t="s">
        <v>2149</v>
      </c>
      <c r="F438">
        <v>1</v>
      </c>
      <c r="G438">
        <v>52</v>
      </c>
      <c r="H438" s="2" t="s">
        <v>1002</v>
      </c>
    </row>
    <row r="439" spans="1:8" ht="102" x14ac:dyDescent="0.2">
      <c r="A439" t="s">
        <v>2184</v>
      </c>
      <c r="B439" t="s">
        <v>1003</v>
      </c>
      <c r="C439">
        <v>1</v>
      </c>
      <c r="D439" s="1" t="s">
        <v>1004</v>
      </c>
      <c r="E439" t="s">
        <v>2149</v>
      </c>
      <c r="F439">
        <v>1</v>
      </c>
      <c r="G439">
        <v>77</v>
      </c>
      <c r="H439" s="2" t="s">
        <v>1772</v>
      </c>
    </row>
    <row r="440" spans="1:8" x14ac:dyDescent="0.2">
      <c r="A440" t="s">
        <v>2184</v>
      </c>
      <c r="B440" t="s">
        <v>1773</v>
      </c>
      <c r="C440">
        <v>2</v>
      </c>
      <c r="D440" s="1" t="s">
        <v>1774</v>
      </c>
      <c r="E440" t="s">
        <v>2187</v>
      </c>
      <c r="F440">
        <v>0</v>
      </c>
      <c r="G440">
        <v>0</v>
      </c>
    </row>
    <row r="441" spans="1:8" ht="102" x14ac:dyDescent="0.2">
      <c r="A441" t="s">
        <v>2184</v>
      </c>
      <c r="B441" t="s">
        <v>1775</v>
      </c>
      <c r="C441">
        <v>1</v>
      </c>
      <c r="D441" s="1" t="s">
        <v>1776</v>
      </c>
      <c r="E441" t="s">
        <v>2149</v>
      </c>
      <c r="F441">
        <v>1</v>
      </c>
      <c r="G441">
        <v>34</v>
      </c>
      <c r="H441" s="2" t="s">
        <v>1777</v>
      </c>
    </row>
    <row r="442" spans="1:8" x14ac:dyDescent="0.2">
      <c r="A442" t="s">
        <v>2184</v>
      </c>
      <c r="B442" t="s">
        <v>1778</v>
      </c>
      <c r="C442">
        <v>2</v>
      </c>
      <c r="D442" s="1" t="s">
        <v>1779</v>
      </c>
      <c r="E442" t="s">
        <v>2187</v>
      </c>
      <c r="F442">
        <v>0</v>
      </c>
      <c r="G442">
        <v>0</v>
      </c>
    </row>
    <row r="443" spans="1:8" ht="89.25" x14ac:dyDescent="0.2">
      <c r="A443" t="s">
        <v>2184</v>
      </c>
      <c r="B443" t="s">
        <v>1780</v>
      </c>
      <c r="C443">
        <v>1</v>
      </c>
      <c r="D443" s="1" t="s">
        <v>1781</v>
      </c>
      <c r="E443" t="s">
        <v>2149</v>
      </c>
      <c r="F443">
        <v>1</v>
      </c>
      <c r="G443">
        <v>115</v>
      </c>
      <c r="H443" s="2" t="s">
        <v>1782</v>
      </c>
    </row>
    <row r="444" spans="1:8" ht="89.25" x14ac:dyDescent="0.2">
      <c r="A444" t="s">
        <v>2184</v>
      </c>
      <c r="B444" t="s">
        <v>1783</v>
      </c>
      <c r="C444">
        <v>1</v>
      </c>
      <c r="D444" s="1" t="s">
        <v>1784</v>
      </c>
      <c r="E444" t="s">
        <v>2204</v>
      </c>
      <c r="F444">
        <v>1</v>
      </c>
      <c r="G444">
        <v>61</v>
      </c>
      <c r="H444" s="2" t="s">
        <v>1785</v>
      </c>
    </row>
    <row r="445" spans="1:8" x14ac:dyDescent="0.2">
      <c r="A445" t="s">
        <v>2184</v>
      </c>
      <c r="B445" t="s">
        <v>1786</v>
      </c>
      <c r="C445">
        <v>2</v>
      </c>
      <c r="D445" s="1" t="s">
        <v>1787</v>
      </c>
      <c r="E445" t="s">
        <v>2187</v>
      </c>
      <c r="F445">
        <v>0</v>
      </c>
      <c r="G445">
        <v>0</v>
      </c>
    </row>
    <row r="446" spans="1:8" ht="178.5" x14ac:dyDescent="0.2">
      <c r="A446" t="s">
        <v>2184</v>
      </c>
      <c r="B446" t="s">
        <v>1788</v>
      </c>
      <c r="C446">
        <v>1</v>
      </c>
      <c r="D446" s="1" t="s">
        <v>1789</v>
      </c>
      <c r="E446" t="s">
        <v>2149</v>
      </c>
      <c r="F446">
        <v>1</v>
      </c>
      <c r="G446">
        <v>147</v>
      </c>
      <c r="H446" s="2" t="s">
        <v>1790</v>
      </c>
    </row>
    <row r="447" spans="1:8" ht="140.25" x14ac:dyDescent="0.2">
      <c r="A447" t="s">
        <v>2184</v>
      </c>
      <c r="B447" t="s">
        <v>1791</v>
      </c>
      <c r="C447">
        <v>1</v>
      </c>
      <c r="D447" s="1" t="s">
        <v>1792</v>
      </c>
      <c r="E447" t="s">
        <v>2149</v>
      </c>
      <c r="F447">
        <v>1</v>
      </c>
      <c r="G447">
        <v>150</v>
      </c>
      <c r="H447" s="2" t="s">
        <v>1406</v>
      </c>
    </row>
    <row r="448" spans="1:8" ht="178.5" x14ac:dyDescent="0.2">
      <c r="A448" t="s">
        <v>2184</v>
      </c>
      <c r="B448" t="s">
        <v>1407</v>
      </c>
      <c r="C448">
        <v>1</v>
      </c>
      <c r="D448" s="1" t="s">
        <v>1408</v>
      </c>
      <c r="E448" t="s">
        <v>2149</v>
      </c>
      <c r="F448">
        <v>1</v>
      </c>
      <c r="G448">
        <v>120</v>
      </c>
      <c r="H448" s="2" t="s">
        <v>1409</v>
      </c>
    </row>
    <row r="449" spans="1:8" ht="178.5" x14ac:dyDescent="0.2">
      <c r="A449" t="s">
        <v>2184</v>
      </c>
      <c r="B449" t="s">
        <v>1410</v>
      </c>
      <c r="C449">
        <v>1</v>
      </c>
      <c r="D449" s="1" t="s">
        <v>1411</v>
      </c>
      <c r="E449" t="s">
        <v>2149</v>
      </c>
      <c r="F449">
        <v>1</v>
      </c>
      <c r="G449">
        <v>130</v>
      </c>
      <c r="H449" s="2" t="s">
        <v>1412</v>
      </c>
    </row>
    <row r="450" spans="1:8" x14ac:dyDescent="0.2">
      <c r="A450" t="s">
        <v>2184</v>
      </c>
      <c r="B450" t="s">
        <v>1413</v>
      </c>
      <c r="C450">
        <v>2</v>
      </c>
      <c r="D450" s="1" t="s">
        <v>1414</v>
      </c>
      <c r="E450" t="s">
        <v>2187</v>
      </c>
      <c r="F450">
        <v>0</v>
      </c>
      <c r="G450">
        <v>0</v>
      </c>
    </row>
    <row r="451" spans="1:8" ht="153" x14ac:dyDescent="0.2">
      <c r="A451" t="s">
        <v>2184</v>
      </c>
      <c r="B451" t="s">
        <v>1415</v>
      </c>
      <c r="C451">
        <v>1</v>
      </c>
      <c r="D451" s="1" t="s">
        <v>1046</v>
      </c>
      <c r="E451" t="s">
        <v>2149</v>
      </c>
      <c r="F451">
        <v>1</v>
      </c>
      <c r="G451">
        <v>68</v>
      </c>
      <c r="H451" s="2" t="s">
        <v>1047</v>
      </c>
    </row>
    <row r="452" spans="1:8" ht="127.5" x14ac:dyDescent="0.2">
      <c r="A452" t="s">
        <v>2184</v>
      </c>
      <c r="B452" t="s">
        <v>1048</v>
      </c>
      <c r="C452">
        <v>1</v>
      </c>
      <c r="D452" s="1" t="s">
        <v>1049</v>
      </c>
      <c r="E452" t="s">
        <v>2149</v>
      </c>
      <c r="F452">
        <v>1</v>
      </c>
      <c r="G452">
        <v>35</v>
      </c>
      <c r="H452" s="2" t="s">
        <v>1050</v>
      </c>
    </row>
    <row r="453" spans="1:8" ht="38.25" x14ac:dyDescent="0.2">
      <c r="A453" t="s">
        <v>2184</v>
      </c>
      <c r="B453" t="s">
        <v>1051</v>
      </c>
      <c r="C453">
        <v>2</v>
      </c>
      <c r="D453" s="1" t="s">
        <v>1052</v>
      </c>
      <c r="E453" t="s">
        <v>2187</v>
      </c>
      <c r="F453">
        <v>0</v>
      </c>
      <c r="G453">
        <v>0</v>
      </c>
    </row>
    <row r="454" spans="1:8" ht="89.25" x14ac:dyDescent="0.2">
      <c r="A454" t="s">
        <v>2184</v>
      </c>
      <c r="B454" t="s">
        <v>1053</v>
      </c>
      <c r="C454">
        <v>1</v>
      </c>
      <c r="D454" s="1" t="s">
        <v>1054</v>
      </c>
      <c r="E454" t="s">
        <v>2149</v>
      </c>
      <c r="F454">
        <v>1</v>
      </c>
      <c r="G454">
        <v>0</v>
      </c>
      <c r="H454" s="2" t="s">
        <v>1055</v>
      </c>
    </row>
    <row r="455" spans="1:8" ht="89.25" x14ac:dyDescent="0.2">
      <c r="A455" t="s">
        <v>2184</v>
      </c>
      <c r="B455" t="s">
        <v>1056</v>
      </c>
      <c r="C455">
        <v>1</v>
      </c>
      <c r="D455" s="1" t="s">
        <v>1057</v>
      </c>
      <c r="E455" t="s">
        <v>2149</v>
      </c>
      <c r="F455">
        <v>1</v>
      </c>
      <c r="G455">
        <v>0</v>
      </c>
      <c r="H455" s="2" t="s">
        <v>1420</v>
      </c>
    </row>
    <row r="456" spans="1:8" x14ac:dyDescent="0.2">
      <c r="A456" t="s">
        <v>2184</v>
      </c>
      <c r="B456" t="s">
        <v>1421</v>
      </c>
      <c r="C456">
        <v>2</v>
      </c>
      <c r="D456" s="1" t="s">
        <v>1422</v>
      </c>
      <c r="E456" t="s">
        <v>2187</v>
      </c>
      <c r="F456">
        <v>0</v>
      </c>
      <c r="G456">
        <v>0</v>
      </c>
    </row>
    <row r="457" spans="1:8" ht="25.5" x14ac:dyDescent="0.2">
      <c r="A457" t="s">
        <v>2184</v>
      </c>
      <c r="B457" t="s">
        <v>1423</v>
      </c>
      <c r="C457">
        <v>2</v>
      </c>
      <c r="D457" s="1" t="s">
        <v>1424</v>
      </c>
      <c r="E457" t="s">
        <v>2187</v>
      </c>
      <c r="F457">
        <v>0</v>
      </c>
      <c r="G457">
        <v>0</v>
      </c>
    </row>
    <row r="458" spans="1:8" ht="25.5" x14ac:dyDescent="0.2">
      <c r="A458" t="s">
        <v>2184</v>
      </c>
      <c r="B458" t="s">
        <v>1425</v>
      </c>
      <c r="C458">
        <v>2</v>
      </c>
      <c r="D458" s="1" t="s">
        <v>1426</v>
      </c>
      <c r="E458" t="s">
        <v>2187</v>
      </c>
      <c r="F458">
        <v>0</v>
      </c>
      <c r="G458">
        <v>0</v>
      </c>
    </row>
    <row r="459" spans="1:8" ht="216.75" x14ac:dyDescent="0.2">
      <c r="A459" t="s">
        <v>2184</v>
      </c>
      <c r="B459" t="s">
        <v>1427</v>
      </c>
      <c r="C459">
        <v>1</v>
      </c>
      <c r="D459" s="1" t="s">
        <v>1058</v>
      </c>
      <c r="E459" t="s">
        <v>2204</v>
      </c>
      <c r="F459">
        <v>1</v>
      </c>
      <c r="G459">
        <v>26</v>
      </c>
      <c r="H459" s="2" t="s">
        <v>629</v>
      </c>
    </row>
    <row r="460" spans="1:8" ht="216.75" x14ac:dyDescent="0.2">
      <c r="A460" t="s">
        <v>2184</v>
      </c>
      <c r="B460" t="s">
        <v>630</v>
      </c>
      <c r="C460">
        <v>1</v>
      </c>
      <c r="D460" s="1" t="s">
        <v>631</v>
      </c>
      <c r="E460" t="s">
        <v>2204</v>
      </c>
      <c r="F460">
        <v>1</v>
      </c>
      <c r="G460">
        <v>0</v>
      </c>
      <c r="H460" s="2" t="s">
        <v>1451</v>
      </c>
    </row>
    <row r="461" spans="1:8" ht="216.75" x14ac:dyDescent="0.2">
      <c r="A461" t="s">
        <v>2184</v>
      </c>
      <c r="B461" t="s">
        <v>1452</v>
      </c>
      <c r="C461">
        <v>1</v>
      </c>
      <c r="D461" s="1" t="s">
        <v>1453</v>
      </c>
      <c r="E461" t="s">
        <v>2204</v>
      </c>
      <c r="F461">
        <v>1</v>
      </c>
      <c r="G461">
        <v>0</v>
      </c>
      <c r="H461" s="2" t="s">
        <v>1454</v>
      </c>
    </row>
    <row r="462" spans="1:8" ht="140.25" x14ac:dyDescent="0.2">
      <c r="A462" t="s">
        <v>2184</v>
      </c>
      <c r="B462" t="s">
        <v>1455</v>
      </c>
      <c r="C462">
        <v>1</v>
      </c>
      <c r="D462" s="1" t="s">
        <v>1456</v>
      </c>
      <c r="E462" t="s">
        <v>2204</v>
      </c>
      <c r="F462">
        <v>1</v>
      </c>
      <c r="G462">
        <v>0</v>
      </c>
      <c r="H462" s="2" t="s">
        <v>1457</v>
      </c>
    </row>
    <row r="463" spans="1:8" ht="140.25" x14ac:dyDescent="0.2">
      <c r="A463" t="s">
        <v>2184</v>
      </c>
      <c r="B463" t="s">
        <v>1458</v>
      </c>
      <c r="C463">
        <v>1</v>
      </c>
      <c r="D463" s="1" t="s">
        <v>2338</v>
      </c>
      <c r="E463" t="s">
        <v>2204</v>
      </c>
      <c r="F463">
        <v>1</v>
      </c>
      <c r="G463">
        <v>50</v>
      </c>
      <c r="H463" s="2" t="s">
        <v>2339</v>
      </c>
    </row>
    <row r="464" spans="1:8" ht="140.25" x14ac:dyDescent="0.2">
      <c r="A464" t="s">
        <v>2184</v>
      </c>
      <c r="B464" t="s">
        <v>2340</v>
      </c>
      <c r="C464">
        <v>1</v>
      </c>
      <c r="D464" s="1" t="s">
        <v>2341</v>
      </c>
      <c r="E464" t="s">
        <v>2204</v>
      </c>
      <c r="F464">
        <v>1</v>
      </c>
      <c r="G464">
        <v>56.92</v>
      </c>
      <c r="H464" s="2" t="s">
        <v>1860</v>
      </c>
    </row>
    <row r="465" spans="1:8" ht="140.25" x14ac:dyDescent="0.2">
      <c r="A465" t="s">
        <v>2184</v>
      </c>
      <c r="B465" t="s">
        <v>1861</v>
      </c>
      <c r="C465">
        <v>1</v>
      </c>
      <c r="D465" s="1" t="s">
        <v>1862</v>
      </c>
      <c r="E465" t="s">
        <v>2204</v>
      </c>
      <c r="F465">
        <v>1</v>
      </c>
      <c r="G465">
        <v>59.87</v>
      </c>
      <c r="H465" s="2" t="s">
        <v>1460</v>
      </c>
    </row>
    <row r="466" spans="1:8" ht="140.25" x14ac:dyDescent="0.2">
      <c r="A466" t="s">
        <v>2184</v>
      </c>
      <c r="B466" t="s">
        <v>1461</v>
      </c>
      <c r="C466">
        <v>1</v>
      </c>
      <c r="D466" s="1" t="s">
        <v>1462</v>
      </c>
      <c r="E466" t="s">
        <v>2204</v>
      </c>
      <c r="F466">
        <v>1</v>
      </c>
      <c r="G466">
        <v>0</v>
      </c>
      <c r="H466" s="2" t="s">
        <v>1463</v>
      </c>
    </row>
    <row r="467" spans="1:8" ht="140.25" x14ac:dyDescent="0.2">
      <c r="A467" t="s">
        <v>2184</v>
      </c>
      <c r="B467" t="s">
        <v>1464</v>
      </c>
      <c r="C467">
        <v>1</v>
      </c>
      <c r="D467" s="1" t="s">
        <v>1465</v>
      </c>
      <c r="E467" t="s">
        <v>2204</v>
      </c>
      <c r="F467">
        <v>1</v>
      </c>
      <c r="G467">
        <v>0</v>
      </c>
      <c r="H467" s="2" t="s">
        <v>1877</v>
      </c>
    </row>
    <row r="468" spans="1:8" ht="191.25" x14ac:dyDescent="0.2">
      <c r="A468" t="s">
        <v>2184</v>
      </c>
      <c r="B468" t="s">
        <v>1878</v>
      </c>
      <c r="C468">
        <v>1</v>
      </c>
      <c r="D468" s="1" t="s">
        <v>1879</v>
      </c>
      <c r="E468" t="s">
        <v>2108</v>
      </c>
      <c r="F468">
        <v>1</v>
      </c>
      <c r="G468">
        <v>0</v>
      </c>
      <c r="H468" s="2" t="s">
        <v>1880</v>
      </c>
    </row>
    <row r="469" spans="1:8" ht="165.75" x14ac:dyDescent="0.2">
      <c r="A469" t="s">
        <v>2184</v>
      </c>
      <c r="B469" t="s">
        <v>1881</v>
      </c>
      <c r="C469">
        <v>1</v>
      </c>
      <c r="D469" s="1" t="s">
        <v>1882</v>
      </c>
      <c r="E469" t="s">
        <v>2108</v>
      </c>
      <c r="F469">
        <v>1</v>
      </c>
      <c r="G469">
        <v>0</v>
      </c>
      <c r="H469" s="2" t="s">
        <v>1478</v>
      </c>
    </row>
    <row r="470" spans="1:8" ht="165.75" x14ac:dyDescent="0.2">
      <c r="A470" t="s">
        <v>2184</v>
      </c>
      <c r="B470" t="s">
        <v>1479</v>
      </c>
      <c r="C470">
        <v>1</v>
      </c>
      <c r="D470" s="1" t="s">
        <v>1480</v>
      </c>
      <c r="E470" t="s">
        <v>2108</v>
      </c>
      <c r="F470">
        <v>1</v>
      </c>
      <c r="G470">
        <v>0</v>
      </c>
      <c r="H470" s="2" t="s">
        <v>1481</v>
      </c>
    </row>
    <row r="471" spans="1:8" ht="165.75" x14ac:dyDescent="0.2">
      <c r="A471" t="s">
        <v>2184</v>
      </c>
      <c r="B471" t="s">
        <v>1482</v>
      </c>
      <c r="C471">
        <v>1</v>
      </c>
      <c r="D471" s="1" t="s">
        <v>1483</v>
      </c>
      <c r="E471" t="s">
        <v>2108</v>
      </c>
      <c r="F471">
        <v>1</v>
      </c>
      <c r="G471">
        <v>0</v>
      </c>
      <c r="H471" s="2" t="s">
        <v>1154</v>
      </c>
    </row>
    <row r="472" spans="1:8" ht="165.75" x14ac:dyDescent="0.2">
      <c r="A472" t="s">
        <v>2184</v>
      </c>
      <c r="B472" t="s">
        <v>1155</v>
      </c>
      <c r="C472">
        <v>1</v>
      </c>
      <c r="D472" s="1" t="s">
        <v>1156</v>
      </c>
      <c r="E472" t="s">
        <v>2108</v>
      </c>
      <c r="F472">
        <v>1</v>
      </c>
      <c r="G472">
        <v>0</v>
      </c>
      <c r="H472" s="2" t="s">
        <v>1157</v>
      </c>
    </row>
    <row r="473" spans="1:8" ht="165.75" x14ac:dyDescent="0.2">
      <c r="A473" t="s">
        <v>2184</v>
      </c>
      <c r="B473" t="s">
        <v>1158</v>
      </c>
      <c r="C473">
        <v>1</v>
      </c>
      <c r="D473" s="1" t="s">
        <v>1159</v>
      </c>
      <c r="E473" t="s">
        <v>2108</v>
      </c>
      <c r="F473">
        <v>1</v>
      </c>
      <c r="G473">
        <v>0</v>
      </c>
      <c r="H473" s="2" t="s">
        <v>1161</v>
      </c>
    </row>
    <row r="474" spans="1:8" ht="165.75" x14ac:dyDescent="0.2">
      <c r="A474" t="s">
        <v>2184</v>
      </c>
      <c r="B474" t="s">
        <v>1162</v>
      </c>
      <c r="C474">
        <v>1</v>
      </c>
      <c r="D474" s="1" t="s">
        <v>1163</v>
      </c>
      <c r="E474" t="s">
        <v>2108</v>
      </c>
      <c r="F474">
        <v>1</v>
      </c>
      <c r="G474">
        <v>0</v>
      </c>
      <c r="H474" s="2" t="s">
        <v>1164</v>
      </c>
    </row>
    <row r="475" spans="1:8" ht="165.75" x14ac:dyDescent="0.2">
      <c r="A475" t="s">
        <v>2184</v>
      </c>
      <c r="B475" t="s">
        <v>1165</v>
      </c>
      <c r="C475">
        <v>1</v>
      </c>
      <c r="D475" s="1" t="s">
        <v>1166</v>
      </c>
      <c r="E475" t="s">
        <v>2108</v>
      </c>
      <c r="F475">
        <v>1</v>
      </c>
      <c r="G475">
        <v>0</v>
      </c>
      <c r="H475" s="2" t="s">
        <v>787</v>
      </c>
    </row>
    <row r="476" spans="1:8" ht="165.75" x14ac:dyDescent="0.2">
      <c r="A476" t="s">
        <v>2184</v>
      </c>
      <c r="B476" t="s">
        <v>788</v>
      </c>
      <c r="C476">
        <v>1</v>
      </c>
      <c r="D476" s="1" t="s">
        <v>789</v>
      </c>
      <c r="E476" t="s">
        <v>2108</v>
      </c>
      <c r="F476">
        <v>1</v>
      </c>
      <c r="G476">
        <v>0</v>
      </c>
      <c r="H476" s="2" t="s">
        <v>790</v>
      </c>
    </row>
    <row r="477" spans="1:8" ht="165.75" x14ac:dyDescent="0.2">
      <c r="A477" t="s">
        <v>2184</v>
      </c>
      <c r="B477" t="s">
        <v>791</v>
      </c>
      <c r="C477">
        <v>1</v>
      </c>
      <c r="D477" s="1" t="s">
        <v>792</v>
      </c>
      <c r="E477" t="s">
        <v>2108</v>
      </c>
      <c r="F477">
        <v>1</v>
      </c>
      <c r="G477">
        <v>0</v>
      </c>
      <c r="H477" s="2" t="s">
        <v>1186</v>
      </c>
    </row>
    <row r="478" spans="1:8" ht="165.75" x14ac:dyDescent="0.2">
      <c r="A478" t="s">
        <v>2184</v>
      </c>
      <c r="B478" t="s">
        <v>1187</v>
      </c>
      <c r="C478">
        <v>1</v>
      </c>
      <c r="D478" s="1" t="s">
        <v>1188</v>
      </c>
      <c r="E478" t="s">
        <v>2108</v>
      </c>
      <c r="F478">
        <v>1</v>
      </c>
      <c r="G478">
        <v>0</v>
      </c>
      <c r="H478" s="2" t="s">
        <v>1189</v>
      </c>
    </row>
    <row r="479" spans="1:8" ht="165.75" x14ac:dyDescent="0.2">
      <c r="A479" t="s">
        <v>2184</v>
      </c>
      <c r="B479" t="s">
        <v>1190</v>
      </c>
      <c r="C479">
        <v>1</v>
      </c>
      <c r="D479" s="1" t="s">
        <v>1191</v>
      </c>
      <c r="E479" t="s">
        <v>2108</v>
      </c>
      <c r="F479">
        <v>1</v>
      </c>
      <c r="G479">
        <v>0</v>
      </c>
      <c r="H479" s="2" t="s">
        <v>1549</v>
      </c>
    </row>
    <row r="480" spans="1:8" ht="165.75" x14ac:dyDescent="0.2">
      <c r="A480" t="s">
        <v>2184</v>
      </c>
      <c r="B480" t="s">
        <v>1550</v>
      </c>
      <c r="C480">
        <v>1</v>
      </c>
      <c r="D480" s="1" t="s">
        <v>1551</v>
      </c>
      <c r="E480" t="s">
        <v>2108</v>
      </c>
      <c r="F480">
        <v>1</v>
      </c>
      <c r="G480">
        <v>0</v>
      </c>
      <c r="H480" s="2" t="s">
        <v>1552</v>
      </c>
    </row>
    <row r="481" spans="1:8" ht="165.75" x14ac:dyDescent="0.2">
      <c r="A481" t="s">
        <v>2184</v>
      </c>
      <c r="B481" t="s">
        <v>1553</v>
      </c>
      <c r="C481">
        <v>1</v>
      </c>
      <c r="D481" s="1" t="s">
        <v>1554</v>
      </c>
      <c r="E481" t="s">
        <v>2108</v>
      </c>
      <c r="F481">
        <v>1</v>
      </c>
      <c r="G481">
        <v>0</v>
      </c>
      <c r="H481" s="2" t="s">
        <v>1556</v>
      </c>
    </row>
    <row r="482" spans="1:8" ht="165.75" x14ac:dyDescent="0.2">
      <c r="A482" t="s">
        <v>2184</v>
      </c>
      <c r="B482" t="s">
        <v>1557</v>
      </c>
      <c r="C482">
        <v>1</v>
      </c>
      <c r="D482" s="1" t="s">
        <v>1558</v>
      </c>
      <c r="E482" t="s">
        <v>2108</v>
      </c>
      <c r="F482">
        <v>1</v>
      </c>
      <c r="G482">
        <v>0</v>
      </c>
      <c r="H482" s="2" t="s">
        <v>1559</v>
      </c>
    </row>
    <row r="483" spans="1:8" ht="25.5" x14ac:dyDescent="0.2">
      <c r="A483" t="s">
        <v>2184</v>
      </c>
      <c r="B483" t="s">
        <v>1560</v>
      </c>
      <c r="C483">
        <v>2</v>
      </c>
      <c r="D483" s="1" t="s">
        <v>1561</v>
      </c>
      <c r="E483" t="s">
        <v>2187</v>
      </c>
      <c r="F483">
        <v>0</v>
      </c>
      <c r="G483">
        <v>0</v>
      </c>
    </row>
    <row r="484" spans="1:8" ht="127.5" x14ac:dyDescent="0.2">
      <c r="A484" t="s">
        <v>2184</v>
      </c>
      <c r="B484" t="s">
        <v>1562</v>
      </c>
      <c r="C484">
        <v>1</v>
      </c>
      <c r="D484" s="1" t="s">
        <v>1563</v>
      </c>
      <c r="E484" t="s">
        <v>2204</v>
      </c>
      <c r="F484">
        <v>1</v>
      </c>
      <c r="G484">
        <v>0</v>
      </c>
      <c r="H484" s="2" t="s">
        <v>1564</v>
      </c>
    </row>
    <row r="485" spans="1:8" ht="127.5" x14ac:dyDescent="0.2">
      <c r="A485" t="s">
        <v>2184</v>
      </c>
      <c r="B485" t="s">
        <v>1565</v>
      </c>
      <c r="C485">
        <v>1</v>
      </c>
      <c r="D485" s="1" t="s">
        <v>1566</v>
      </c>
      <c r="E485" t="s">
        <v>2204</v>
      </c>
      <c r="F485">
        <v>1</v>
      </c>
      <c r="G485">
        <v>0</v>
      </c>
      <c r="H485" s="2" t="s">
        <v>1567</v>
      </c>
    </row>
    <row r="486" spans="1:8" ht="127.5" x14ac:dyDescent="0.2">
      <c r="A486" t="s">
        <v>2184</v>
      </c>
      <c r="B486" t="s">
        <v>1568</v>
      </c>
      <c r="C486">
        <v>1</v>
      </c>
      <c r="D486" s="1" t="s">
        <v>1569</v>
      </c>
      <c r="E486" t="s">
        <v>2204</v>
      </c>
      <c r="F486">
        <v>1</v>
      </c>
      <c r="G486">
        <v>0</v>
      </c>
      <c r="H486" s="2" t="s">
        <v>1570</v>
      </c>
    </row>
    <row r="487" spans="1:8" ht="191.25" x14ac:dyDescent="0.2">
      <c r="A487" t="s">
        <v>2184</v>
      </c>
      <c r="B487" t="s">
        <v>1571</v>
      </c>
      <c r="C487">
        <v>1</v>
      </c>
      <c r="D487" s="1" t="s">
        <v>1572</v>
      </c>
      <c r="E487" t="s">
        <v>2108</v>
      </c>
      <c r="F487">
        <v>1</v>
      </c>
      <c r="G487">
        <v>1200</v>
      </c>
      <c r="H487" s="2" t="s">
        <v>1229</v>
      </c>
    </row>
    <row r="488" spans="1:8" ht="191.25" x14ac:dyDescent="0.2">
      <c r="A488" t="s">
        <v>2184</v>
      </c>
      <c r="B488" t="s">
        <v>1230</v>
      </c>
      <c r="C488">
        <v>1</v>
      </c>
      <c r="D488" s="1" t="s">
        <v>1231</v>
      </c>
      <c r="E488" t="s">
        <v>2108</v>
      </c>
      <c r="F488">
        <v>1</v>
      </c>
      <c r="G488">
        <v>0</v>
      </c>
      <c r="H488" s="2" t="s">
        <v>1232</v>
      </c>
    </row>
    <row r="489" spans="1:8" ht="191.25" x14ac:dyDescent="0.2">
      <c r="A489" t="s">
        <v>2184</v>
      </c>
      <c r="B489" t="s">
        <v>1233</v>
      </c>
      <c r="C489">
        <v>1</v>
      </c>
      <c r="D489" s="1" t="s">
        <v>1234</v>
      </c>
      <c r="E489" t="s">
        <v>2108</v>
      </c>
      <c r="F489">
        <v>1</v>
      </c>
      <c r="G489">
        <v>0</v>
      </c>
      <c r="H489" s="2" t="s">
        <v>829</v>
      </c>
    </row>
    <row r="490" spans="1:8" ht="229.5" x14ac:dyDescent="0.2">
      <c r="A490" t="s">
        <v>2184</v>
      </c>
      <c r="B490" t="s">
        <v>830</v>
      </c>
      <c r="C490">
        <v>1</v>
      </c>
      <c r="D490" s="1" t="s">
        <v>831</v>
      </c>
      <c r="E490" t="s">
        <v>2108</v>
      </c>
      <c r="F490">
        <v>1</v>
      </c>
      <c r="G490">
        <v>1800</v>
      </c>
      <c r="H490" s="2" t="s">
        <v>832</v>
      </c>
    </row>
    <row r="491" spans="1:8" ht="229.5" x14ac:dyDescent="0.2">
      <c r="A491" t="s">
        <v>2184</v>
      </c>
      <c r="B491" t="s">
        <v>833</v>
      </c>
      <c r="C491">
        <v>1</v>
      </c>
      <c r="D491" s="1" t="s">
        <v>834</v>
      </c>
      <c r="E491" t="s">
        <v>2108</v>
      </c>
      <c r="F491">
        <v>1</v>
      </c>
      <c r="G491">
        <v>1420</v>
      </c>
      <c r="H491" s="2" t="s">
        <v>835</v>
      </c>
    </row>
    <row r="492" spans="1:8" ht="229.5" x14ac:dyDescent="0.2">
      <c r="A492" t="s">
        <v>2184</v>
      </c>
      <c r="B492" t="s">
        <v>836</v>
      </c>
      <c r="C492">
        <v>1</v>
      </c>
      <c r="D492" s="1" t="s">
        <v>445</v>
      </c>
      <c r="E492" t="s">
        <v>2108</v>
      </c>
      <c r="F492">
        <v>1</v>
      </c>
      <c r="G492">
        <v>0</v>
      </c>
      <c r="H492" s="2" t="s">
        <v>446</v>
      </c>
    </row>
    <row r="493" spans="1:8" ht="216.75" x14ac:dyDescent="0.2">
      <c r="A493" t="s">
        <v>2184</v>
      </c>
      <c r="B493" t="s">
        <v>447</v>
      </c>
      <c r="C493">
        <v>1</v>
      </c>
      <c r="D493" s="1" t="s">
        <v>849</v>
      </c>
      <c r="E493" t="s">
        <v>2108</v>
      </c>
      <c r="F493">
        <v>1</v>
      </c>
      <c r="G493">
        <v>1512</v>
      </c>
      <c r="H493" s="2" t="s">
        <v>1257</v>
      </c>
    </row>
    <row r="494" spans="1:8" ht="229.5" x14ac:dyDescent="0.2">
      <c r="A494" t="s">
        <v>2184</v>
      </c>
      <c r="B494" t="s">
        <v>1258</v>
      </c>
      <c r="C494">
        <v>1</v>
      </c>
      <c r="D494" s="1" t="s">
        <v>1259</v>
      </c>
      <c r="E494" t="s">
        <v>2108</v>
      </c>
      <c r="F494">
        <v>1</v>
      </c>
      <c r="G494">
        <v>0</v>
      </c>
      <c r="H494" s="2" t="s">
        <v>1260</v>
      </c>
    </row>
    <row r="495" spans="1:8" ht="229.5" x14ac:dyDescent="0.2">
      <c r="A495" t="s">
        <v>2184</v>
      </c>
      <c r="B495" t="s">
        <v>1261</v>
      </c>
      <c r="C495">
        <v>1</v>
      </c>
      <c r="D495" s="1" t="s">
        <v>1639</v>
      </c>
      <c r="E495" t="s">
        <v>2108</v>
      </c>
      <c r="F495">
        <v>1</v>
      </c>
      <c r="G495">
        <v>0</v>
      </c>
      <c r="H495" s="2" t="s">
        <v>1262</v>
      </c>
    </row>
    <row r="496" spans="1:8" ht="127.5" x14ac:dyDescent="0.2">
      <c r="A496" t="s">
        <v>2184</v>
      </c>
      <c r="B496" t="s">
        <v>1263</v>
      </c>
      <c r="C496">
        <v>1</v>
      </c>
      <c r="D496" s="1" t="s">
        <v>1264</v>
      </c>
      <c r="E496" t="s">
        <v>2108</v>
      </c>
      <c r="F496">
        <v>1</v>
      </c>
      <c r="G496">
        <v>0</v>
      </c>
      <c r="H496" s="2" t="s">
        <v>1265</v>
      </c>
    </row>
    <row r="497" spans="1:8" ht="140.25" x14ac:dyDescent="0.2">
      <c r="A497" t="s">
        <v>2184</v>
      </c>
      <c r="B497" t="s">
        <v>1266</v>
      </c>
      <c r="C497">
        <v>1</v>
      </c>
      <c r="D497" s="1" t="s">
        <v>1267</v>
      </c>
      <c r="E497" t="s">
        <v>2108</v>
      </c>
      <c r="F497">
        <v>1</v>
      </c>
      <c r="G497">
        <v>0</v>
      </c>
      <c r="H497" s="2" t="s">
        <v>1650</v>
      </c>
    </row>
    <row r="498" spans="1:8" ht="25.5" x14ac:dyDescent="0.2">
      <c r="A498" t="s">
        <v>2184</v>
      </c>
      <c r="B498" t="s">
        <v>1651</v>
      </c>
      <c r="C498">
        <v>2</v>
      </c>
      <c r="D498" s="1" t="s">
        <v>1652</v>
      </c>
      <c r="E498" t="s">
        <v>2187</v>
      </c>
      <c r="F498">
        <v>0</v>
      </c>
      <c r="G498">
        <v>0</v>
      </c>
    </row>
    <row r="499" spans="1:8" ht="89.25" x14ac:dyDescent="0.2">
      <c r="A499" t="s">
        <v>2184</v>
      </c>
      <c r="B499" t="s">
        <v>1653</v>
      </c>
      <c r="C499">
        <v>1</v>
      </c>
      <c r="D499" s="1" t="s">
        <v>1654</v>
      </c>
      <c r="E499" t="s">
        <v>2204</v>
      </c>
      <c r="F499">
        <v>1</v>
      </c>
      <c r="G499">
        <v>0</v>
      </c>
      <c r="H499" s="2" t="s">
        <v>1655</v>
      </c>
    </row>
    <row r="500" spans="1:8" ht="140.25" x14ac:dyDescent="0.2">
      <c r="A500" t="s">
        <v>2184</v>
      </c>
      <c r="B500" t="s">
        <v>1656</v>
      </c>
      <c r="C500">
        <v>1</v>
      </c>
      <c r="D500" s="1" t="s">
        <v>880</v>
      </c>
      <c r="E500" t="s">
        <v>2204</v>
      </c>
      <c r="F500">
        <v>1</v>
      </c>
      <c r="G500">
        <v>68</v>
      </c>
      <c r="H500" s="2" t="s">
        <v>1268</v>
      </c>
    </row>
    <row r="501" spans="1:8" ht="127.5" x14ac:dyDescent="0.2">
      <c r="A501" t="s">
        <v>2184</v>
      </c>
      <c r="B501" t="s">
        <v>1269</v>
      </c>
      <c r="C501">
        <v>1</v>
      </c>
      <c r="D501" s="1" t="s">
        <v>1270</v>
      </c>
      <c r="E501" t="s">
        <v>2204</v>
      </c>
      <c r="F501">
        <v>1</v>
      </c>
      <c r="G501">
        <v>0</v>
      </c>
      <c r="H501" s="2" t="s">
        <v>1271</v>
      </c>
    </row>
    <row r="502" spans="1:8" ht="140.25" x14ac:dyDescent="0.2">
      <c r="A502" t="s">
        <v>2184</v>
      </c>
      <c r="B502" t="s">
        <v>1272</v>
      </c>
      <c r="C502">
        <v>1</v>
      </c>
      <c r="D502" s="1" t="s">
        <v>1273</v>
      </c>
      <c r="E502" t="s">
        <v>2108</v>
      </c>
      <c r="F502">
        <v>1</v>
      </c>
      <c r="G502">
        <v>0</v>
      </c>
      <c r="H502" s="2" t="s">
        <v>1660</v>
      </c>
    </row>
    <row r="503" spans="1:8" ht="140.25" x14ac:dyDescent="0.2">
      <c r="A503" t="s">
        <v>2184</v>
      </c>
      <c r="B503" t="s">
        <v>1661</v>
      </c>
      <c r="C503">
        <v>1</v>
      </c>
      <c r="D503" s="1" t="s">
        <v>1662</v>
      </c>
      <c r="E503" t="s">
        <v>2108</v>
      </c>
      <c r="F503">
        <v>1</v>
      </c>
      <c r="G503">
        <v>0</v>
      </c>
      <c r="H503" s="2" t="s">
        <v>1663</v>
      </c>
    </row>
    <row r="504" spans="1:8" ht="165.75" x14ac:dyDescent="0.2">
      <c r="A504" t="s">
        <v>2184</v>
      </c>
      <c r="B504" t="s">
        <v>1664</v>
      </c>
      <c r="C504">
        <v>1</v>
      </c>
      <c r="D504" s="1" t="s">
        <v>1665</v>
      </c>
      <c r="E504" t="s">
        <v>2108</v>
      </c>
      <c r="F504">
        <v>1</v>
      </c>
      <c r="G504">
        <v>0</v>
      </c>
      <c r="H504" s="2" t="s">
        <v>1297</v>
      </c>
    </row>
    <row r="505" spans="1:8" ht="165.75" x14ac:dyDescent="0.2">
      <c r="A505" t="s">
        <v>2184</v>
      </c>
      <c r="B505" t="s">
        <v>1298</v>
      </c>
      <c r="C505">
        <v>1</v>
      </c>
      <c r="D505" s="1" t="s">
        <v>1665</v>
      </c>
      <c r="E505" t="s">
        <v>2108</v>
      </c>
      <c r="F505">
        <v>1</v>
      </c>
      <c r="G505">
        <v>0</v>
      </c>
      <c r="H505" s="2" t="s">
        <v>1299</v>
      </c>
    </row>
    <row r="506" spans="1:8" ht="38.25" x14ac:dyDescent="0.2">
      <c r="A506" t="s">
        <v>2184</v>
      </c>
      <c r="B506" t="s">
        <v>1300</v>
      </c>
      <c r="C506">
        <v>2</v>
      </c>
      <c r="D506" s="1" t="s">
        <v>1301</v>
      </c>
      <c r="E506" t="s">
        <v>2187</v>
      </c>
      <c r="F506">
        <v>0</v>
      </c>
      <c r="G506">
        <v>0</v>
      </c>
    </row>
    <row r="507" spans="1:8" ht="140.25" x14ac:dyDescent="0.2">
      <c r="A507" t="s">
        <v>2184</v>
      </c>
      <c r="B507" t="s">
        <v>1302</v>
      </c>
      <c r="C507">
        <v>1</v>
      </c>
      <c r="D507" s="1" t="s">
        <v>1303</v>
      </c>
      <c r="E507" t="s">
        <v>2108</v>
      </c>
      <c r="F507">
        <v>1</v>
      </c>
      <c r="G507">
        <v>0</v>
      </c>
      <c r="H507" s="2" t="s">
        <v>939</v>
      </c>
    </row>
    <row r="508" spans="1:8" ht="140.25" x14ac:dyDescent="0.2">
      <c r="A508" t="s">
        <v>2184</v>
      </c>
      <c r="B508" t="s">
        <v>940</v>
      </c>
      <c r="C508">
        <v>1</v>
      </c>
      <c r="D508" s="1" t="s">
        <v>941</v>
      </c>
      <c r="E508" t="s">
        <v>2204</v>
      </c>
      <c r="F508">
        <v>1</v>
      </c>
      <c r="G508">
        <v>0</v>
      </c>
      <c r="H508" s="2" t="s">
        <v>942</v>
      </c>
    </row>
    <row r="509" spans="1:8" ht="127.5" x14ac:dyDescent="0.2">
      <c r="A509" t="s">
        <v>2184</v>
      </c>
      <c r="B509" t="s">
        <v>943</v>
      </c>
      <c r="C509">
        <v>1</v>
      </c>
      <c r="D509" s="1" t="s">
        <v>944</v>
      </c>
      <c r="E509" t="s">
        <v>2108</v>
      </c>
      <c r="F509">
        <v>1</v>
      </c>
      <c r="G509">
        <v>0</v>
      </c>
      <c r="H509" s="2" t="s">
        <v>950</v>
      </c>
    </row>
    <row r="510" spans="1:8" ht="127.5" x14ac:dyDescent="0.2">
      <c r="A510" t="s">
        <v>2184</v>
      </c>
      <c r="B510" t="s">
        <v>951</v>
      </c>
      <c r="C510">
        <v>1</v>
      </c>
      <c r="D510" s="1" t="s">
        <v>952</v>
      </c>
      <c r="E510" t="s">
        <v>2108</v>
      </c>
      <c r="F510">
        <v>1</v>
      </c>
      <c r="G510">
        <v>0</v>
      </c>
      <c r="H510" s="2" t="s">
        <v>953</v>
      </c>
    </row>
    <row r="511" spans="1:8" ht="140.25" x14ac:dyDescent="0.2">
      <c r="A511" t="s">
        <v>2184</v>
      </c>
      <c r="B511" t="s">
        <v>954</v>
      </c>
      <c r="C511">
        <v>1</v>
      </c>
      <c r="D511" s="1" t="s">
        <v>1303</v>
      </c>
      <c r="E511" t="s">
        <v>2108</v>
      </c>
      <c r="F511">
        <v>1</v>
      </c>
      <c r="G511">
        <v>0</v>
      </c>
      <c r="H511" s="2" t="s">
        <v>939</v>
      </c>
    </row>
    <row r="512" spans="1:8" ht="140.25" x14ac:dyDescent="0.2">
      <c r="A512" t="s">
        <v>2184</v>
      </c>
      <c r="B512" t="s">
        <v>955</v>
      </c>
      <c r="C512">
        <v>1</v>
      </c>
      <c r="D512" s="1" t="s">
        <v>941</v>
      </c>
      <c r="E512" t="s">
        <v>2204</v>
      </c>
      <c r="F512">
        <v>1</v>
      </c>
      <c r="G512">
        <v>0</v>
      </c>
      <c r="H512" s="2" t="s">
        <v>942</v>
      </c>
    </row>
    <row r="513" spans="1:8" ht="127.5" x14ac:dyDescent="0.2">
      <c r="A513" t="s">
        <v>2184</v>
      </c>
      <c r="B513" t="s">
        <v>956</v>
      </c>
      <c r="C513">
        <v>1</v>
      </c>
      <c r="D513" s="1" t="s">
        <v>944</v>
      </c>
      <c r="E513" t="s">
        <v>2108</v>
      </c>
      <c r="F513">
        <v>1</v>
      </c>
      <c r="G513">
        <v>0</v>
      </c>
      <c r="H513" s="2" t="s">
        <v>950</v>
      </c>
    </row>
    <row r="514" spans="1:8" ht="127.5" x14ac:dyDescent="0.2">
      <c r="A514" t="s">
        <v>2184</v>
      </c>
      <c r="B514" t="s">
        <v>957</v>
      </c>
      <c r="C514">
        <v>1</v>
      </c>
      <c r="D514" s="1" t="s">
        <v>952</v>
      </c>
      <c r="E514" t="s">
        <v>2108</v>
      </c>
      <c r="F514">
        <v>1</v>
      </c>
      <c r="G514">
        <v>0</v>
      </c>
      <c r="H514" s="2" t="s">
        <v>953</v>
      </c>
    </row>
    <row r="515" spans="1:8" x14ac:dyDescent="0.2">
      <c r="A515" t="s">
        <v>2184</v>
      </c>
      <c r="B515" t="s">
        <v>958</v>
      </c>
      <c r="C515">
        <v>2</v>
      </c>
      <c r="D515" s="1" t="s">
        <v>959</v>
      </c>
      <c r="E515" t="s">
        <v>2187</v>
      </c>
      <c r="F515">
        <v>0</v>
      </c>
      <c r="G515">
        <v>0</v>
      </c>
    </row>
    <row r="516" spans="1:8" ht="25.5" x14ac:dyDescent="0.2">
      <c r="A516" t="s">
        <v>2184</v>
      </c>
      <c r="B516" t="s">
        <v>960</v>
      </c>
      <c r="C516">
        <v>2</v>
      </c>
      <c r="D516" s="1" t="s">
        <v>961</v>
      </c>
      <c r="E516" t="s">
        <v>2187</v>
      </c>
      <c r="F516">
        <v>0</v>
      </c>
      <c r="G516">
        <v>0</v>
      </c>
    </row>
    <row r="517" spans="1:8" ht="127.5" x14ac:dyDescent="0.2">
      <c r="A517" t="s">
        <v>2184</v>
      </c>
      <c r="B517" t="s">
        <v>962</v>
      </c>
      <c r="C517">
        <v>1</v>
      </c>
      <c r="D517" s="1" t="s">
        <v>963</v>
      </c>
      <c r="E517" t="s">
        <v>2108</v>
      </c>
      <c r="F517">
        <v>1</v>
      </c>
      <c r="G517">
        <v>0</v>
      </c>
      <c r="H517" s="2" t="s">
        <v>964</v>
      </c>
    </row>
    <row r="518" spans="1:8" ht="127.5" x14ac:dyDescent="0.2">
      <c r="A518" t="s">
        <v>2184</v>
      </c>
      <c r="B518" t="s">
        <v>965</v>
      </c>
      <c r="C518">
        <v>1</v>
      </c>
      <c r="D518" s="1" t="s">
        <v>548</v>
      </c>
      <c r="E518" t="s">
        <v>2108</v>
      </c>
      <c r="F518">
        <v>1</v>
      </c>
      <c r="G518">
        <v>0</v>
      </c>
      <c r="H518" s="2" t="s">
        <v>549</v>
      </c>
    </row>
    <row r="519" spans="1:8" ht="114.75" x14ac:dyDescent="0.2">
      <c r="A519" t="s">
        <v>2184</v>
      </c>
      <c r="B519" t="s">
        <v>550</v>
      </c>
      <c r="C519">
        <v>1</v>
      </c>
      <c r="D519" s="1" t="s">
        <v>551</v>
      </c>
      <c r="E519" t="s">
        <v>2108</v>
      </c>
      <c r="F519">
        <v>1</v>
      </c>
      <c r="G519">
        <v>0</v>
      </c>
      <c r="H519" s="2" t="s">
        <v>552</v>
      </c>
    </row>
    <row r="520" spans="1:8" ht="114.75" x14ac:dyDescent="0.2">
      <c r="A520" t="s">
        <v>2184</v>
      </c>
      <c r="B520" t="s">
        <v>553</v>
      </c>
      <c r="C520">
        <v>1</v>
      </c>
      <c r="D520" s="1" t="s">
        <v>554</v>
      </c>
      <c r="E520" t="s">
        <v>2108</v>
      </c>
      <c r="F520">
        <v>1</v>
      </c>
      <c r="G520">
        <v>0</v>
      </c>
      <c r="H520" s="2" t="s">
        <v>555</v>
      </c>
    </row>
    <row r="521" spans="1:8" ht="114.75" x14ac:dyDescent="0.2">
      <c r="A521" t="s">
        <v>2184</v>
      </c>
      <c r="B521" t="s">
        <v>556</v>
      </c>
      <c r="C521">
        <v>1</v>
      </c>
      <c r="D521" s="1" t="s">
        <v>557</v>
      </c>
      <c r="E521" t="s">
        <v>2108</v>
      </c>
      <c r="F521">
        <v>1</v>
      </c>
      <c r="G521">
        <v>0</v>
      </c>
      <c r="H521" s="2" t="s">
        <v>990</v>
      </c>
    </row>
    <row r="522" spans="1:8" ht="114.75" x14ac:dyDescent="0.2">
      <c r="A522" t="s">
        <v>2184</v>
      </c>
      <c r="B522" t="s">
        <v>991</v>
      </c>
      <c r="C522">
        <v>1</v>
      </c>
      <c r="D522" s="1" t="s">
        <v>992</v>
      </c>
      <c r="E522" t="s">
        <v>2108</v>
      </c>
      <c r="F522">
        <v>1</v>
      </c>
      <c r="G522">
        <v>0</v>
      </c>
      <c r="H522" s="2" t="s">
        <v>993</v>
      </c>
    </row>
    <row r="523" spans="1:8" ht="114.75" x14ac:dyDescent="0.2">
      <c r="A523" t="s">
        <v>2184</v>
      </c>
      <c r="B523" t="s">
        <v>994</v>
      </c>
      <c r="C523">
        <v>1</v>
      </c>
      <c r="D523" s="1" t="s">
        <v>995</v>
      </c>
      <c r="E523" t="s">
        <v>2108</v>
      </c>
      <c r="F523">
        <v>1</v>
      </c>
      <c r="G523">
        <v>0</v>
      </c>
      <c r="H523" s="2" t="s">
        <v>996</v>
      </c>
    </row>
    <row r="524" spans="1:8" ht="114.75" x14ac:dyDescent="0.2">
      <c r="A524" t="s">
        <v>2184</v>
      </c>
      <c r="B524" t="s">
        <v>997</v>
      </c>
      <c r="C524">
        <v>1</v>
      </c>
      <c r="D524" s="1" t="s">
        <v>998</v>
      </c>
      <c r="E524" t="s">
        <v>2108</v>
      </c>
      <c r="F524">
        <v>1</v>
      </c>
      <c r="G524">
        <v>120</v>
      </c>
      <c r="H524" s="2" t="s">
        <v>999</v>
      </c>
    </row>
    <row r="525" spans="1:8" ht="114.75" x14ac:dyDescent="0.2">
      <c r="A525" t="s">
        <v>2184</v>
      </c>
      <c r="B525" t="s">
        <v>1000</v>
      </c>
      <c r="C525">
        <v>1</v>
      </c>
      <c r="D525" s="1" t="s">
        <v>1001</v>
      </c>
      <c r="E525" t="s">
        <v>2108</v>
      </c>
      <c r="F525">
        <v>1</v>
      </c>
      <c r="G525">
        <v>170</v>
      </c>
      <c r="H525" s="2" t="s">
        <v>1376</v>
      </c>
    </row>
    <row r="526" spans="1:8" ht="114.75" x14ac:dyDescent="0.2">
      <c r="A526" t="s">
        <v>2184</v>
      </c>
      <c r="B526" t="s">
        <v>1377</v>
      </c>
      <c r="C526">
        <v>1</v>
      </c>
      <c r="D526" s="1" t="s">
        <v>1378</v>
      </c>
      <c r="E526" t="s">
        <v>2204</v>
      </c>
      <c r="F526">
        <v>1</v>
      </c>
      <c r="G526">
        <v>0</v>
      </c>
      <c r="H526" s="2" t="s">
        <v>1379</v>
      </c>
    </row>
    <row r="527" spans="1:8" ht="127.5" x14ac:dyDescent="0.2">
      <c r="A527" t="s">
        <v>2184</v>
      </c>
      <c r="B527" t="s">
        <v>1380</v>
      </c>
      <c r="C527">
        <v>1</v>
      </c>
      <c r="D527" s="1" t="s">
        <v>1381</v>
      </c>
      <c r="E527" t="s">
        <v>2204</v>
      </c>
      <c r="F527">
        <v>1</v>
      </c>
      <c r="G527">
        <v>0</v>
      </c>
      <c r="H527" s="2" t="s">
        <v>1382</v>
      </c>
    </row>
    <row r="528" spans="1:8" ht="140.25" x14ac:dyDescent="0.2">
      <c r="A528" t="s">
        <v>2184</v>
      </c>
      <c r="B528" t="s">
        <v>1383</v>
      </c>
      <c r="C528">
        <v>1</v>
      </c>
      <c r="D528" s="1" t="s">
        <v>1384</v>
      </c>
      <c r="E528" t="s">
        <v>2204</v>
      </c>
      <c r="F528">
        <v>1</v>
      </c>
      <c r="G528">
        <v>330</v>
      </c>
      <c r="H528" s="2" t="s">
        <v>566</v>
      </c>
    </row>
    <row r="529" spans="1:8" ht="25.5" x14ac:dyDescent="0.2">
      <c r="A529" t="s">
        <v>2184</v>
      </c>
      <c r="B529" t="s">
        <v>567</v>
      </c>
      <c r="C529">
        <v>2</v>
      </c>
      <c r="D529" s="1" t="s">
        <v>568</v>
      </c>
      <c r="E529" t="s">
        <v>2187</v>
      </c>
      <c r="F529">
        <v>0</v>
      </c>
      <c r="G529">
        <v>0</v>
      </c>
    </row>
    <row r="530" spans="1:8" ht="102" x14ac:dyDescent="0.2">
      <c r="A530" t="s">
        <v>2184</v>
      </c>
      <c r="B530" t="s">
        <v>569</v>
      </c>
      <c r="C530">
        <v>1</v>
      </c>
      <c r="D530" s="1" t="s">
        <v>570</v>
      </c>
      <c r="E530" t="s">
        <v>2108</v>
      </c>
      <c r="F530">
        <v>1</v>
      </c>
      <c r="G530">
        <v>880</v>
      </c>
      <c r="H530" s="2" t="s">
        <v>571</v>
      </c>
    </row>
    <row r="531" spans="1:8" ht="114.75" x14ac:dyDescent="0.2">
      <c r="A531" t="s">
        <v>2184</v>
      </c>
      <c r="B531" t="s">
        <v>572</v>
      </c>
      <c r="C531">
        <v>1</v>
      </c>
      <c r="D531" s="1" t="s">
        <v>573</v>
      </c>
      <c r="E531" t="s">
        <v>2108</v>
      </c>
      <c r="F531">
        <v>1</v>
      </c>
      <c r="G531">
        <v>0</v>
      </c>
      <c r="H531" s="2" t="s">
        <v>574</v>
      </c>
    </row>
    <row r="532" spans="1:8" ht="127.5" x14ac:dyDescent="0.2">
      <c r="A532" t="s">
        <v>2184</v>
      </c>
      <c r="B532" t="s">
        <v>575</v>
      </c>
      <c r="C532">
        <v>1</v>
      </c>
      <c r="D532" s="1" t="s">
        <v>576</v>
      </c>
      <c r="E532" t="s">
        <v>2108</v>
      </c>
      <c r="F532">
        <v>1</v>
      </c>
      <c r="G532">
        <v>0</v>
      </c>
      <c r="H532" s="2" t="s">
        <v>1386</v>
      </c>
    </row>
    <row r="533" spans="1:8" ht="25.5" x14ac:dyDescent="0.2">
      <c r="A533" t="s">
        <v>2184</v>
      </c>
      <c r="B533" t="s">
        <v>1387</v>
      </c>
      <c r="C533">
        <v>2</v>
      </c>
      <c r="D533" s="1" t="s">
        <v>1388</v>
      </c>
      <c r="E533" t="s">
        <v>2187</v>
      </c>
      <c r="F533">
        <v>0</v>
      </c>
      <c r="G533">
        <v>0</v>
      </c>
    </row>
    <row r="534" spans="1:8" ht="140.25" x14ac:dyDescent="0.2">
      <c r="A534" t="s">
        <v>2184</v>
      </c>
      <c r="B534" t="s">
        <v>1389</v>
      </c>
      <c r="C534">
        <v>1</v>
      </c>
      <c r="D534" s="1" t="s">
        <v>1390</v>
      </c>
      <c r="E534" t="s">
        <v>2108</v>
      </c>
      <c r="F534">
        <v>1</v>
      </c>
      <c r="G534">
        <v>0</v>
      </c>
      <c r="H534" s="2" t="s">
        <v>1391</v>
      </c>
    </row>
    <row r="535" spans="1:8" ht="165.75" x14ac:dyDescent="0.2">
      <c r="A535" t="s">
        <v>2184</v>
      </c>
      <c r="B535" t="s">
        <v>1392</v>
      </c>
      <c r="C535">
        <v>1</v>
      </c>
      <c r="D535" s="1" t="s">
        <v>1393</v>
      </c>
      <c r="E535" t="s">
        <v>2108</v>
      </c>
      <c r="F535">
        <v>1</v>
      </c>
      <c r="G535">
        <v>0</v>
      </c>
      <c r="H535" s="2" t="s">
        <v>1394</v>
      </c>
    </row>
    <row r="536" spans="1:8" ht="140.25" x14ac:dyDescent="0.2">
      <c r="A536" t="s">
        <v>2184</v>
      </c>
      <c r="B536" t="s">
        <v>1395</v>
      </c>
      <c r="C536">
        <v>1</v>
      </c>
      <c r="D536" s="1" t="s">
        <v>1396</v>
      </c>
      <c r="E536" t="s">
        <v>2108</v>
      </c>
      <c r="F536">
        <v>1</v>
      </c>
      <c r="G536">
        <v>0</v>
      </c>
      <c r="H536" s="2" t="s">
        <v>1397</v>
      </c>
    </row>
    <row r="537" spans="1:8" ht="229.5" x14ac:dyDescent="0.2">
      <c r="A537" t="s">
        <v>2184</v>
      </c>
      <c r="B537" t="s">
        <v>1398</v>
      </c>
      <c r="C537">
        <v>1</v>
      </c>
      <c r="D537" s="1" t="s">
        <v>1399</v>
      </c>
      <c r="E537" t="s">
        <v>2108</v>
      </c>
      <c r="F537">
        <v>1</v>
      </c>
      <c r="G537">
        <v>0</v>
      </c>
      <c r="H537" s="2" t="s">
        <v>1400</v>
      </c>
    </row>
    <row r="538" spans="1:8" ht="114.75" x14ac:dyDescent="0.2">
      <c r="A538" t="s">
        <v>2184</v>
      </c>
      <c r="B538" t="s">
        <v>1401</v>
      </c>
      <c r="C538">
        <v>1</v>
      </c>
      <c r="D538" s="1" t="s">
        <v>1402</v>
      </c>
      <c r="E538" t="s">
        <v>2108</v>
      </c>
      <c r="F538">
        <v>1</v>
      </c>
      <c r="G538">
        <v>0</v>
      </c>
      <c r="H538" s="2" t="s">
        <v>1403</v>
      </c>
    </row>
    <row r="539" spans="1:8" ht="114.75" x14ac:dyDescent="0.2">
      <c r="A539" t="s">
        <v>2184</v>
      </c>
      <c r="B539" t="s">
        <v>1404</v>
      </c>
      <c r="C539">
        <v>1</v>
      </c>
      <c r="D539" s="1" t="s">
        <v>1405</v>
      </c>
      <c r="E539" t="s">
        <v>2108</v>
      </c>
      <c r="F539">
        <v>1</v>
      </c>
      <c r="G539">
        <v>700</v>
      </c>
      <c r="H539" s="2" t="s">
        <v>1031</v>
      </c>
    </row>
    <row r="540" spans="1:8" ht="25.5" x14ac:dyDescent="0.2">
      <c r="A540" t="s">
        <v>2184</v>
      </c>
      <c r="B540" t="s">
        <v>1032</v>
      </c>
      <c r="C540">
        <v>2</v>
      </c>
      <c r="D540" s="1" t="s">
        <v>1033</v>
      </c>
      <c r="E540" t="s">
        <v>2187</v>
      </c>
      <c r="F540">
        <v>0</v>
      </c>
      <c r="G540">
        <v>0</v>
      </c>
    </row>
    <row r="541" spans="1:8" ht="114.75" x14ac:dyDescent="0.2">
      <c r="A541" t="s">
        <v>2184</v>
      </c>
      <c r="B541" t="s">
        <v>1034</v>
      </c>
      <c r="C541">
        <v>1</v>
      </c>
      <c r="D541" s="1" t="s">
        <v>1035</v>
      </c>
      <c r="E541" t="s">
        <v>2108</v>
      </c>
      <c r="F541">
        <v>1</v>
      </c>
      <c r="G541">
        <v>0</v>
      </c>
      <c r="H541" s="2" t="s">
        <v>1036</v>
      </c>
    </row>
    <row r="542" spans="1:8" ht="127.5" x14ac:dyDescent="0.2">
      <c r="A542" t="s">
        <v>2184</v>
      </c>
      <c r="B542" t="s">
        <v>1037</v>
      </c>
      <c r="C542">
        <v>1</v>
      </c>
      <c r="D542" s="1" t="s">
        <v>1038</v>
      </c>
      <c r="E542" t="s">
        <v>2108</v>
      </c>
      <c r="F542">
        <v>1</v>
      </c>
      <c r="G542">
        <v>0</v>
      </c>
      <c r="H542" s="2" t="s">
        <v>1039</v>
      </c>
    </row>
    <row r="543" spans="1:8" ht="140.25" x14ac:dyDescent="0.2">
      <c r="A543" t="s">
        <v>2184</v>
      </c>
      <c r="B543" t="s">
        <v>1040</v>
      </c>
      <c r="C543">
        <v>1</v>
      </c>
      <c r="D543" s="1" t="s">
        <v>1041</v>
      </c>
      <c r="E543" t="s">
        <v>2108</v>
      </c>
      <c r="F543">
        <v>1</v>
      </c>
      <c r="G543">
        <v>840</v>
      </c>
      <c r="H543" s="2" t="s">
        <v>198</v>
      </c>
    </row>
    <row r="544" spans="1:8" ht="127.5" x14ac:dyDescent="0.2">
      <c r="A544" t="s">
        <v>2184</v>
      </c>
      <c r="B544" t="s">
        <v>199</v>
      </c>
      <c r="C544">
        <v>1</v>
      </c>
      <c r="D544" s="1" t="s">
        <v>200</v>
      </c>
      <c r="E544" t="s">
        <v>2108</v>
      </c>
      <c r="F544">
        <v>1</v>
      </c>
      <c r="G544">
        <v>0</v>
      </c>
      <c r="H544" s="2" t="s">
        <v>201</v>
      </c>
    </row>
    <row r="545" spans="1:8" ht="127.5" x14ac:dyDescent="0.2">
      <c r="A545" t="s">
        <v>2184</v>
      </c>
      <c r="B545" t="s">
        <v>202</v>
      </c>
      <c r="C545">
        <v>1</v>
      </c>
      <c r="D545" s="1" t="s">
        <v>203</v>
      </c>
      <c r="E545" t="s">
        <v>2108</v>
      </c>
      <c r="F545">
        <v>1</v>
      </c>
      <c r="G545">
        <v>0</v>
      </c>
      <c r="H545" s="2" t="s">
        <v>205</v>
      </c>
    </row>
    <row r="546" spans="1:8" ht="114.75" x14ac:dyDescent="0.2">
      <c r="A546" t="s">
        <v>2184</v>
      </c>
      <c r="B546" t="s">
        <v>206</v>
      </c>
      <c r="C546">
        <v>1</v>
      </c>
      <c r="D546" s="1" t="s">
        <v>636</v>
      </c>
      <c r="E546" t="s">
        <v>2108</v>
      </c>
      <c r="F546">
        <v>1</v>
      </c>
      <c r="G546">
        <v>460</v>
      </c>
      <c r="H546" s="2" t="s">
        <v>637</v>
      </c>
    </row>
    <row r="547" spans="1:8" ht="25.5" x14ac:dyDescent="0.2">
      <c r="A547" t="s">
        <v>2184</v>
      </c>
      <c r="B547" t="s">
        <v>638</v>
      </c>
      <c r="C547">
        <v>2</v>
      </c>
      <c r="D547" s="1" t="s">
        <v>639</v>
      </c>
      <c r="E547" t="s">
        <v>2187</v>
      </c>
      <c r="F547">
        <v>0</v>
      </c>
      <c r="G547">
        <v>0</v>
      </c>
    </row>
    <row r="548" spans="1:8" ht="127.5" x14ac:dyDescent="0.2">
      <c r="A548" t="s">
        <v>2184</v>
      </c>
      <c r="B548" t="s">
        <v>640</v>
      </c>
      <c r="C548">
        <v>1</v>
      </c>
      <c r="D548" s="1" t="s">
        <v>632</v>
      </c>
      <c r="E548" t="s">
        <v>2108</v>
      </c>
      <c r="F548">
        <v>1</v>
      </c>
      <c r="G548">
        <v>0</v>
      </c>
      <c r="H548" s="2" t="s">
        <v>633</v>
      </c>
    </row>
    <row r="549" spans="1:8" ht="127.5" x14ac:dyDescent="0.2">
      <c r="A549" t="s">
        <v>2184</v>
      </c>
      <c r="B549" t="s">
        <v>634</v>
      </c>
      <c r="C549">
        <v>1</v>
      </c>
      <c r="D549" s="1" t="s">
        <v>635</v>
      </c>
      <c r="E549" t="s">
        <v>2108</v>
      </c>
      <c r="F549">
        <v>1</v>
      </c>
      <c r="G549">
        <v>0</v>
      </c>
      <c r="H549" s="2" t="s">
        <v>1069</v>
      </c>
    </row>
    <row r="550" spans="1:8" ht="102" x14ac:dyDescent="0.2">
      <c r="A550" t="s">
        <v>2184</v>
      </c>
      <c r="B550" t="s">
        <v>1070</v>
      </c>
      <c r="C550">
        <v>1</v>
      </c>
      <c r="D550" s="1" t="s">
        <v>1071</v>
      </c>
      <c r="E550" t="s">
        <v>2108</v>
      </c>
      <c r="F550">
        <v>1</v>
      </c>
      <c r="G550">
        <v>0</v>
      </c>
      <c r="H550" s="2" t="s">
        <v>1072</v>
      </c>
    </row>
    <row r="551" spans="1:8" ht="102" x14ac:dyDescent="0.2">
      <c r="A551" t="s">
        <v>2184</v>
      </c>
      <c r="B551" t="s">
        <v>1073</v>
      </c>
      <c r="C551">
        <v>1</v>
      </c>
      <c r="D551" s="1" t="s">
        <v>1074</v>
      </c>
      <c r="E551" t="s">
        <v>2108</v>
      </c>
      <c r="F551">
        <v>1</v>
      </c>
      <c r="G551">
        <v>0</v>
      </c>
      <c r="H551" s="2" t="s">
        <v>1075</v>
      </c>
    </row>
    <row r="552" spans="1:8" ht="153" x14ac:dyDescent="0.2">
      <c r="A552" t="s">
        <v>2184</v>
      </c>
      <c r="B552" t="s">
        <v>1076</v>
      </c>
      <c r="C552">
        <v>1</v>
      </c>
      <c r="D552" s="1" t="s">
        <v>1077</v>
      </c>
      <c r="E552" t="s">
        <v>2108</v>
      </c>
      <c r="F552">
        <v>1</v>
      </c>
      <c r="G552">
        <v>0</v>
      </c>
      <c r="H552" s="2" t="s">
        <v>1078</v>
      </c>
    </row>
    <row r="553" spans="1:8" ht="153" x14ac:dyDescent="0.2">
      <c r="A553" t="s">
        <v>2184</v>
      </c>
      <c r="B553" t="s">
        <v>1079</v>
      </c>
      <c r="C553">
        <v>1</v>
      </c>
      <c r="D553" s="1" t="s">
        <v>1080</v>
      </c>
      <c r="E553" t="s">
        <v>2108</v>
      </c>
      <c r="F553">
        <v>1</v>
      </c>
      <c r="G553">
        <v>0</v>
      </c>
      <c r="H553" s="2" t="s">
        <v>1081</v>
      </c>
    </row>
    <row r="554" spans="1:8" ht="153" x14ac:dyDescent="0.2">
      <c r="A554" t="s">
        <v>2184</v>
      </c>
      <c r="B554" t="s">
        <v>1082</v>
      </c>
      <c r="C554">
        <v>1</v>
      </c>
      <c r="D554" s="1" t="s">
        <v>1083</v>
      </c>
      <c r="E554" t="s">
        <v>2108</v>
      </c>
      <c r="F554">
        <v>1</v>
      </c>
      <c r="G554">
        <v>0</v>
      </c>
      <c r="H554" s="2" t="s">
        <v>1084</v>
      </c>
    </row>
    <row r="555" spans="1:8" ht="153" x14ac:dyDescent="0.2">
      <c r="A555" t="s">
        <v>2184</v>
      </c>
      <c r="B555" t="s">
        <v>1085</v>
      </c>
      <c r="C555">
        <v>1</v>
      </c>
      <c r="D555" s="1" t="s">
        <v>1086</v>
      </c>
      <c r="E555" t="s">
        <v>2108</v>
      </c>
      <c r="F555">
        <v>1</v>
      </c>
      <c r="G555">
        <v>0</v>
      </c>
      <c r="H555" s="2" t="s">
        <v>1087</v>
      </c>
    </row>
    <row r="556" spans="1:8" ht="153" x14ac:dyDescent="0.2">
      <c r="A556" t="s">
        <v>2184</v>
      </c>
      <c r="B556" t="s">
        <v>1088</v>
      </c>
      <c r="C556">
        <v>1</v>
      </c>
      <c r="D556" s="1" t="s">
        <v>1089</v>
      </c>
      <c r="E556" t="s">
        <v>2108</v>
      </c>
      <c r="F556">
        <v>1</v>
      </c>
      <c r="G556">
        <v>0</v>
      </c>
      <c r="H556" s="2" t="s">
        <v>1078</v>
      </c>
    </row>
    <row r="557" spans="1:8" ht="153" x14ac:dyDescent="0.2">
      <c r="A557" t="s">
        <v>2184</v>
      </c>
      <c r="B557" t="s">
        <v>1090</v>
      </c>
      <c r="C557">
        <v>1</v>
      </c>
      <c r="D557" s="1" t="s">
        <v>1459</v>
      </c>
      <c r="E557" t="s">
        <v>2108</v>
      </c>
      <c r="F557">
        <v>1</v>
      </c>
      <c r="G557">
        <v>0</v>
      </c>
      <c r="H557" s="2" t="s">
        <v>677</v>
      </c>
    </row>
    <row r="558" spans="1:8" ht="153" x14ac:dyDescent="0.2">
      <c r="A558" t="s">
        <v>2184</v>
      </c>
      <c r="B558" t="s">
        <v>678</v>
      </c>
      <c r="C558">
        <v>1</v>
      </c>
      <c r="D558" s="1" t="s">
        <v>679</v>
      </c>
      <c r="E558" t="s">
        <v>2108</v>
      </c>
      <c r="F558">
        <v>1</v>
      </c>
      <c r="G558">
        <v>0</v>
      </c>
      <c r="H558" s="2" t="s">
        <v>680</v>
      </c>
    </row>
    <row r="559" spans="1:8" ht="153" x14ac:dyDescent="0.2">
      <c r="A559" t="s">
        <v>2184</v>
      </c>
      <c r="B559" t="s">
        <v>681</v>
      </c>
      <c r="C559">
        <v>1</v>
      </c>
      <c r="D559" s="1" t="s">
        <v>682</v>
      </c>
      <c r="E559" t="s">
        <v>2108</v>
      </c>
      <c r="F559">
        <v>1</v>
      </c>
      <c r="G559">
        <v>0</v>
      </c>
      <c r="H559" s="2" t="s">
        <v>683</v>
      </c>
    </row>
    <row r="560" spans="1:8" x14ac:dyDescent="0.2">
      <c r="A560" t="s">
        <v>2184</v>
      </c>
      <c r="B560" t="s">
        <v>684</v>
      </c>
      <c r="C560">
        <v>2</v>
      </c>
      <c r="D560" s="1" t="s">
        <v>685</v>
      </c>
      <c r="E560" t="s">
        <v>2187</v>
      </c>
      <c r="F560">
        <v>0</v>
      </c>
      <c r="G560">
        <v>0</v>
      </c>
    </row>
    <row r="561" spans="1:8" ht="25.5" x14ac:dyDescent="0.2">
      <c r="A561" t="s">
        <v>2184</v>
      </c>
      <c r="B561" t="s">
        <v>686</v>
      </c>
      <c r="C561">
        <v>2</v>
      </c>
      <c r="D561" s="1" t="s">
        <v>687</v>
      </c>
      <c r="E561" t="s">
        <v>2187</v>
      </c>
      <c r="F561">
        <v>0</v>
      </c>
      <c r="G561">
        <v>0</v>
      </c>
    </row>
    <row r="562" spans="1:8" ht="127.5" x14ac:dyDescent="0.2">
      <c r="A562" t="s">
        <v>2184</v>
      </c>
      <c r="B562" t="s">
        <v>688</v>
      </c>
      <c r="C562">
        <v>1</v>
      </c>
      <c r="D562" s="1" t="s">
        <v>1091</v>
      </c>
      <c r="E562" t="s">
        <v>2108</v>
      </c>
      <c r="F562">
        <v>1</v>
      </c>
      <c r="G562">
        <v>0</v>
      </c>
      <c r="H562" s="2" t="s">
        <v>1092</v>
      </c>
    </row>
    <row r="563" spans="1:8" ht="140.25" x14ac:dyDescent="0.2">
      <c r="A563" t="s">
        <v>2184</v>
      </c>
      <c r="B563" t="s">
        <v>1093</v>
      </c>
      <c r="C563">
        <v>1</v>
      </c>
      <c r="D563" s="1" t="s">
        <v>1094</v>
      </c>
      <c r="E563" t="s">
        <v>2108</v>
      </c>
      <c r="F563">
        <v>1</v>
      </c>
      <c r="G563">
        <v>0</v>
      </c>
      <c r="H563" s="2" t="s">
        <v>1095</v>
      </c>
    </row>
    <row r="564" spans="1:8" ht="140.25" x14ac:dyDescent="0.2">
      <c r="A564" t="s">
        <v>2184</v>
      </c>
      <c r="B564" t="s">
        <v>1096</v>
      </c>
      <c r="C564">
        <v>1</v>
      </c>
      <c r="D564" s="1" t="s">
        <v>1097</v>
      </c>
      <c r="E564" t="s">
        <v>2108</v>
      </c>
      <c r="F564">
        <v>1</v>
      </c>
      <c r="G564">
        <v>0</v>
      </c>
      <c r="H564" s="2" t="s">
        <v>1466</v>
      </c>
    </row>
    <row r="565" spans="1:8" ht="102" x14ac:dyDescent="0.2">
      <c r="A565" t="s">
        <v>2184</v>
      </c>
      <c r="B565" t="s">
        <v>1467</v>
      </c>
      <c r="C565">
        <v>1</v>
      </c>
      <c r="D565" s="1" t="s">
        <v>1468</v>
      </c>
      <c r="E565" t="s">
        <v>2108</v>
      </c>
      <c r="F565">
        <v>1</v>
      </c>
      <c r="G565">
        <v>0</v>
      </c>
      <c r="H565" s="2" t="s">
        <v>1469</v>
      </c>
    </row>
    <row r="566" spans="1:8" ht="140.25" x14ac:dyDescent="0.2">
      <c r="A566" t="s">
        <v>2184</v>
      </c>
      <c r="B566" t="s">
        <v>1470</v>
      </c>
      <c r="C566">
        <v>1</v>
      </c>
      <c r="D566" s="1" t="s">
        <v>1471</v>
      </c>
      <c r="E566" t="s">
        <v>2108</v>
      </c>
      <c r="F566">
        <v>1</v>
      </c>
      <c r="G566">
        <v>0</v>
      </c>
      <c r="H566" s="2" t="s">
        <v>1472</v>
      </c>
    </row>
    <row r="567" spans="1:8" ht="127.5" x14ac:dyDescent="0.2">
      <c r="A567" t="s">
        <v>2184</v>
      </c>
      <c r="B567" t="s">
        <v>1473</v>
      </c>
      <c r="C567">
        <v>1</v>
      </c>
      <c r="D567" s="1" t="s">
        <v>1474</v>
      </c>
      <c r="E567" t="s">
        <v>2108</v>
      </c>
      <c r="F567">
        <v>1</v>
      </c>
      <c r="G567">
        <v>2400</v>
      </c>
      <c r="H567" s="2" t="s">
        <v>1475</v>
      </c>
    </row>
    <row r="568" spans="1:8" ht="114.75" x14ac:dyDescent="0.2">
      <c r="A568" t="s">
        <v>2184</v>
      </c>
      <c r="B568" t="s">
        <v>1476</v>
      </c>
      <c r="C568">
        <v>1</v>
      </c>
      <c r="D568" s="1" t="s">
        <v>1477</v>
      </c>
      <c r="E568" t="s">
        <v>2108</v>
      </c>
      <c r="F568">
        <v>1</v>
      </c>
      <c r="G568">
        <v>0</v>
      </c>
      <c r="H568" s="2" t="s">
        <v>1143</v>
      </c>
    </row>
    <row r="569" spans="1:8" ht="114.75" x14ac:dyDescent="0.2">
      <c r="A569" t="s">
        <v>2184</v>
      </c>
      <c r="B569" t="s">
        <v>1144</v>
      </c>
      <c r="C569">
        <v>1</v>
      </c>
      <c r="D569" s="1" t="s">
        <v>1145</v>
      </c>
      <c r="E569" t="s">
        <v>2108</v>
      </c>
      <c r="F569">
        <v>1</v>
      </c>
      <c r="G569">
        <v>0</v>
      </c>
      <c r="H569" s="2" t="s">
        <v>1146</v>
      </c>
    </row>
    <row r="570" spans="1:8" ht="102" x14ac:dyDescent="0.2">
      <c r="A570" t="s">
        <v>2184</v>
      </c>
      <c r="B570" t="s">
        <v>1147</v>
      </c>
      <c r="C570">
        <v>1</v>
      </c>
      <c r="D570" s="1" t="s">
        <v>1148</v>
      </c>
      <c r="E570" t="s">
        <v>2108</v>
      </c>
      <c r="F570">
        <v>1</v>
      </c>
      <c r="G570">
        <v>0</v>
      </c>
      <c r="H570" s="2" t="s">
        <v>1149</v>
      </c>
    </row>
    <row r="571" spans="1:8" ht="165.75" x14ac:dyDescent="0.2">
      <c r="A571" t="s">
        <v>2184</v>
      </c>
      <c r="B571" t="s">
        <v>1150</v>
      </c>
      <c r="C571">
        <v>1</v>
      </c>
      <c r="D571" s="1" t="s">
        <v>1151</v>
      </c>
      <c r="E571" t="s">
        <v>2108</v>
      </c>
      <c r="F571">
        <v>1</v>
      </c>
      <c r="G571">
        <v>0</v>
      </c>
      <c r="H571" s="2" t="s">
        <v>1152</v>
      </c>
    </row>
    <row r="572" spans="1:8" ht="63.75" x14ac:dyDescent="0.2">
      <c r="A572" t="s">
        <v>2184</v>
      </c>
      <c r="B572" t="s">
        <v>1153</v>
      </c>
      <c r="C572">
        <v>1</v>
      </c>
      <c r="D572" s="1" t="s">
        <v>1160</v>
      </c>
      <c r="E572" t="s">
        <v>2108</v>
      </c>
      <c r="F572">
        <v>1</v>
      </c>
      <c r="G572">
        <v>0</v>
      </c>
      <c r="H572" s="2" t="s">
        <v>773</v>
      </c>
    </row>
    <row r="573" spans="1:8" ht="25.5" x14ac:dyDescent="0.2">
      <c r="A573" t="s">
        <v>2184</v>
      </c>
      <c r="B573" t="s">
        <v>774</v>
      </c>
      <c r="C573">
        <v>1</v>
      </c>
      <c r="D573" s="1" t="s">
        <v>775</v>
      </c>
      <c r="E573" t="s">
        <v>2187</v>
      </c>
      <c r="F573">
        <v>0</v>
      </c>
      <c r="G573">
        <v>0</v>
      </c>
    </row>
    <row r="574" spans="1:8" ht="127.5" x14ac:dyDescent="0.2">
      <c r="A574" t="s">
        <v>2184</v>
      </c>
      <c r="B574" t="s">
        <v>776</v>
      </c>
      <c r="C574">
        <v>1</v>
      </c>
      <c r="D574" s="1" t="s">
        <v>777</v>
      </c>
      <c r="E574" t="s">
        <v>2108</v>
      </c>
      <c r="F574">
        <v>1</v>
      </c>
      <c r="G574">
        <v>13000</v>
      </c>
      <c r="H574" s="2" t="s">
        <v>778</v>
      </c>
    </row>
    <row r="575" spans="1:8" ht="140.25" x14ac:dyDescent="0.2">
      <c r="A575" t="s">
        <v>2184</v>
      </c>
      <c r="B575" t="s">
        <v>779</v>
      </c>
      <c r="C575">
        <v>1</v>
      </c>
      <c r="D575" s="1" t="s">
        <v>780</v>
      </c>
      <c r="E575" t="s">
        <v>2108</v>
      </c>
      <c r="F575">
        <v>1</v>
      </c>
      <c r="G575">
        <v>19200</v>
      </c>
      <c r="H575" s="2" t="s">
        <v>781</v>
      </c>
    </row>
    <row r="576" spans="1:8" ht="153" x14ac:dyDescent="0.2">
      <c r="A576" t="s">
        <v>2184</v>
      </c>
      <c r="B576" t="s">
        <v>782</v>
      </c>
      <c r="C576">
        <v>1</v>
      </c>
      <c r="D576" s="1" t="s">
        <v>783</v>
      </c>
      <c r="E576" t="s">
        <v>2108</v>
      </c>
      <c r="F576">
        <v>1</v>
      </c>
      <c r="G576">
        <v>0</v>
      </c>
      <c r="H576" s="2" t="s">
        <v>784</v>
      </c>
    </row>
    <row r="577" spans="1:8" ht="140.25" x14ac:dyDescent="0.2">
      <c r="A577" t="s">
        <v>2184</v>
      </c>
      <c r="B577" t="s">
        <v>785</v>
      </c>
      <c r="C577">
        <v>1</v>
      </c>
      <c r="D577" s="1" t="s">
        <v>786</v>
      </c>
      <c r="E577" t="s">
        <v>2108</v>
      </c>
      <c r="F577">
        <v>1</v>
      </c>
      <c r="G577">
        <v>14100</v>
      </c>
      <c r="H577" s="2" t="s">
        <v>356</v>
      </c>
    </row>
    <row r="578" spans="1:8" ht="25.5" x14ac:dyDescent="0.2">
      <c r="A578" t="s">
        <v>2184</v>
      </c>
      <c r="B578" t="s">
        <v>357</v>
      </c>
      <c r="C578">
        <v>2</v>
      </c>
      <c r="D578" s="1" t="s">
        <v>358</v>
      </c>
      <c r="E578" t="s">
        <v>2187</v>
      </c>
      <c r="F578">
        <v>0</v>
      </c>
      <c r="G578">
        <v>0</v>
      </c>
    </row>
    <row r="579" spans="1:8" ht="165.75" x14ac:dyDescent="0.2">
      <c r="A579" t="s">
        <v>2184</v>
      </c>
      <c r="B579" t="s">
        <v>359</v>
      </c>
      <c r="C579">
        <v>1</v>
      </c>
      <c r="D579" s="1" t="s">
        <v>360</v>
      </c>
      <c r="E579" t="s">
        <v>2108</v>
      </c>
      <c r="F579">
        <v>1</v>
      </c>
      <c r="G579">
        <v>0</v>
      </c>
      <c r="H579" s="2" t="s">
        <v>361</v>
      </c>
    </row>
    <row r="580" spans="1:8" ht="127.5" x14ac:dyDescent="0.2">
      <c r="A580" t="s">
        <v>2184</v>
      </c>
      <c r="B580" t="s">
        <v>362</v>
      </c>
      <c r="C580">
        <v>1</v>
      </c>
      <c r="D580" s="1" t="s">
        <v>363</v>
      </c>
      <c r="E580" t="s">
        <v>2108</v>
      </c>
      <c r="F580">
        <v>1</v>
      </c>
      <c r="G580">
        <v>0</v>
      </c>
      <c r="H580" s="2" t="s">
        <v>364</v>
      </c>
    </row>
    <row r="581" spans="1:8" ht="140.25" x14ac:dyDescent="0.2">
      <c r="A581" t="s">
        <v>2184</v>
      </c>
      <c r="B581" t="s">
        <v>365</v>
      </c>
      <c r="C581">
        <v>1</v>
      </c>
      <c r="D581" s="1" t="s">
        <v>366</v>
      </c>
      <c r="E581" t="s">
        <v>2108</v>
      </c>
      <c r="F581">
        <v>1</v>
      </c>
      <c r="G581">
        <v>0</v>
      </c>
      <c r="H581" s="2" t="s">
        <v>793</v>
      </c>
    </row>
    <row r="582" spans="1:8" ht="153" x14ac:dyDescent="0.2">
      <c r="A582" t="s">
        <v>2184</v>
      </c>
      <c r="B582" t="s">
        <v>794</v>
      </c>
      <c r="C582">
        <v>1</v>
      </c>
      <c r="D582" s="1" t="s">
        <v>795</v>
      </c>
      <c r="E582" t="s">
        <v>2108</v>
      </c>
      <c r="F582">
        <v>1</v>
      </c>
      <c r="G582">
        <v>0</v>
      </c>
      <c r="H582" s="2" t="s">
        <v>796</v>
      </c>
    </row>
    <row r="583" spans="1:8" x14ac:dyDescent="0.2">
      <c r="A583" t="s">
        <v>2184</v>
      </c>
      <c r="B583" t="s">
        <v>797</v>
      </c>
      <c r="C583">
        <v>2</v>
      </c>
      <c r="D583" s="1" t="s">
        <v>798</v>
      </c>
      <c r="E583" t="s">
        <v>2187</v>
      </c>
      <c r="F583">
        <v>0</v>
      </c>
      <c r="G583">
        <v>0</v>
      </c>
    </row>
    <row r="584" spans="1:8" x14ac:dyDescent="0.2">
      <c r="A584" t="s">
        <v>2184</v>
      </c>
      <c r="B584" t="s">
        <v>799</v>
      </c>
      <c r="C584">
        <v>2</v>
      </c>
      <c r="D584" s="1" t="s">
        <v>800</v>
      </c>
      <c r="E584" t="s">
        <v>2187</v>
      </c>
      <c r="F584">
        <v>0</v>
      </c>
      <c r="G584">
        <v>0</v>
      </c>
    </row>
    <row r="585" spans="1:8" ht="153" x14ac:dyDescent="0.2">
      <c r="A585" t="s">
        <v>2184</v>
      </c>
      <c r="B585" t="s">
        <v>801</v>
      </c>
      <c r="C585">
        <v>1</v>
      </c>
      <c r="D585" s="1" t="s">
        <v>802</v>
      </c>
      <c r="E585" t="s">
        <v>2108</v>
      </c>
      <c r="F585">
        <v>1</v>
      </c>
      <c r="G585">
        <v>0</v>
      </c>
      <c r="H585" s="2" t="s">
        <v>803</v>
      </c>
    </row>
    <row r="586" spans="1:8" ht="153" x14ac:dyDescent="0.2">
      <c r="A586" t="s">
        <v>2184</v>
      </c>
      <c r="B586" t="s">
        <v>804</v>
      </c>
      <c r="C586">
        <v>1</v>
      </c>
      <c r="D586" s="1" t="s">
        <v>805</v>
      </c>
      <c r="E586" t="s">
        <v>2108</v>
      </c>
      <c r="F586">
        <v>1</v>
      </c>
      <c r="G586">
        <v>0</v>
      </c>
      <c r="H586" s="2" t="s">
        <v>806</v>
      </c>
    </row>
    <row r="587" spans="1:8" ht="153" x14ac:dyDescent="0.2">
      <c r="A587" t="s">
        <v>2184</v>
      </c>
      <c r="B587" t="s">
        <v>807</v>
      </c>
      <c r="C587">
        <v>1</v>
      </c>
      <c r="D587" s="1" t="s">
        <v>808</v>
      </c>
      <c r="E587" t="s">
        <v>2108</v>
      </c>
      <c r="F587">
        <v>1</v>
      </c>
      <c r="G587">
        <v>0</v>
      </c>
      <c r="H587" s="2" t="s">
        <v>382</v>
      </c>
    </row>
    <row r="588" spans="1:8" ht="153" x14ac:dyDescent="0.2">
      <c r="A588" t="s">
        <v>2184</v>
      </c>
      <c r="B588" t="s">
        <v>383</v>
      </c>
      <c r="C588">
        <v>1</v>
      </c>
      <c r="D588" s="1" t="s">
        <v>384</v>
      </c>
      <c r="E588" t="s">
        <v>2108</v>
      </c>
      <c r="F588">
        <v>1</v>
      </c>
      <c r="G588">
        <v>0</v>
      </c>
      <c r="H588" s="2" t="s">
        <v>385</v>
      </c>
    </row>
    <row r="589" spans="1:8" x14ac:dyDescent="0.2">
      <c r="A589" t="s">
        <v>2184</v>
      </c>
      <c r="B589" t="s">
        <v>386</v>
      </c>
      <c r="C589">
        <v>2</v>
      </c>
      <c r="D589" s="1" t="s">
        <v>387</v>
      </c>
      <c r="E589" t="s">
        <v>2108</v>
      </c>
      <c r="F589">
        <v>0</v>
      </c>
      <c r="G589">
        <v>0</v>
      </c>
    </row>
    <row r="590" spans="1:8" ht="153" x14ac:dyDescent="0.2">
      <c r="A590" t="s">
        <v>2184</v>
      </c>
      <c r="B590" t="s">
        <v>388</v>
      </c>
      <c r="C590">
        <v>1</v>
      </c>
      <c r="D590" s="1" t="s">
        <v>389</v>
      </c>
      <c r="E590" t="s">
        <v>2108</v>
      </c>
      <c r="F590">
        <v>1</v>
      </c>
      <c r="G590">
        <v>0</v>
      </c>
      <c r="H590" s="2" t="s">
        <v>1199</v>
      </c>
    </row>
    <row r="591" spans="1:8" ht="153" x14ac:dyDescent="0.2">
      <c r="A591" t="s">
        <v>2184</v>
      </c>
      <c r="B591" t="s">
        <v>1200</v>
      </c>
      <c r="C591">
        <v>1</v>
      </c>
      <c r="D591" s="1" t="s">
        <v>1201</v>
      </c>
      <c r="E591" t="s">
        <v>2108</v>
      </c>
      <c r="F591">
        <v>1</v>
      </c>
      <c r="G591">
        <v>0</v>
      </c>
      <c r="H591" s="2" t="s">
        <v>1202</v>
      </c>
    </row>
    <row r="592" spans="1:8" ht="153" x14ac:dyDescent="0.2">
      <c r="A592" t="s">
        <v>2184</v>
      </c>
      <c r="B592" t="s">
        <v>1203</v>
      </c>
      <c r="C592">
        <v>1</v>
      </c>
      <c r="D592" s="1" t="s">
        <v>1204</v>
      </c>
      <c r="E592" t="s">
        <v>2108</v>
      </c>
      <c r="F592">
        <v>1</v>
      </c>
      <c r="G592">
        <v>0</v>
      </c>
      <c r="H592" s="2" t="s">
        <v>1205</v>
      </c>
    </row>
    <row r="593" spans="1:8" ht="153" x14ac:dyDescent="0.2">
      <c r="A593" t="s">
        <v>2184</v>
      </c>
      <c r="B593" t="s">
        <v>1206</v>
      </c>
      <c r="C593">
        <v>1</v>
      </c>
      <c r="D593" s="1" t="s">
        <v>1207</v>
      </c>
      <c r="E593" t="s">
        <v>2108</v>
      </c>
      <c r="F593">
        <v>1</v>
      </c>
      <c r="G593">
        <v>0</v>
      </c>
      <c r="H593" s="2" t="s">
        <v>1208</v>
      </c>
    </row>
    <row r="594" spans="1:8" ht="25.5" x14ac:dyDescent="0.2">
      <c r="A594" t="s">
        <v>2184</v>
      </c>
      <c r="B594" t="s">
        <v>1209</v>
      </c>
      <c r="C594">
        <v>2</v>
      </c>
      <c r="D594" s="1" t="s">
        <v>1210</v>
      </c>
      <c r="E594" t="s">
        <v>2187</v>
      </c>
      <c r="F594">
        <v>0</v>
      </c>
      <c r="G594">
        <v>0</v>
      </c>
    </row>
    <row r="595" spans="1:8" ht="38.25" x14ac:dyDescent="0.2">
      <c r="A595" t="s">
        <v>2184</v>
      </c>
      <c r="B595" t="s">
        <v>1211</v>
      </c>
      <c r="C595">
        <v>1</v>
      </c>
      <c r="D595" s="1" t="s">
        <v>1212</v>
      </c>
      <c r="E595" t="s">
        <v>2108</v>
      </c>
      <c r="F595">
        <v>1</v>
      </c>
      <c r="G595">
        <v>0</v>
      </c>
      <c r="H595" s="1" t="s">
        <v>1213</v>
      </c>
    </row>
    <row r="596" spans="1:8" ht="38.25" x14ac:dyDescent="0.2">
      <c r="A596" t="s">
        <v>2184</v>
      </c>
      <c r="B596" t="s">
        <v>1214</v>
      </c>
      <c r="C596">
        <v>1</v>
      </c>
      <c r="D596" s="1" t="s">
        <v>1215</v>
      </c>
      <c r="E596" t="s">
        <v>2108</v>
      </c>
      <c r="F596">
        <v>1</v>
      </c>
      <c r="G596">
        <v>1500</v>
      </c>
      <c r="H596" s="1" t="s">
        <v>1213</v>
      </c>
    </row>
    <row r="597" spans="1:8" ht="38.25" x14ac:dyDescent="0.2">
      <c r="A597" t="s">
        <v>2184</v>
      </c>
      <c r="B597" t="s">
        <v>1216</v>
      </c>
      <c r="C597">
        <v>1</v>
      </c>
      <c r="D597" s="1" t="s">
        <v>1217</v>
      </c>
      <c r="E597" t="s">
        <v>2108</v>
      </c>
      <c r="F597">
        <v>1</v>
      </c>
      <c r="G597">
        <v>0</v>
      </c>
      <c r="H597" s="1" t="s">
        <v>1213</v>
      </c>
    </row>
    <row r="598" spans="1:8" ht="25.5" x14ac:dyDescent="0.2">
      <c r="A598" t="s">
        <v>2184</v>
      </c>
      <c r="B598" t="s">
        <v>1218</v>
      </c>
      <c r="C598">
        <v>2</v>
      </c>
      <c r="D598" s="1" t="s">
        <v>1219</v>
      </c>
      <c r="E598" t="s">
        <v>2187</v>
      </c>
      <c r="F598">
        <v>0</v>
      </c>
      <c r="G598">
        <v>0</v>
      </c>
    </row>
    <row r="599" spans="1:8" ht="38.25" x14ac:dyDescent="0.2">
      <c r="A599" t="s">
        <v>2184</v>
      </c>
      <c r="B599" t="s">
        <v>1220</v>
      </c>
      <c r="C599">
        <v>1</v>
      </c>
      <c r="D599" s="1" t="s">
        <v>1219</v>
      </c>
      <c r="E599" t="s">
        <v>2108</v>
      </c>
      <c r="F599">
        <v>1</v>
      </c>
      <c r="G599">
        <v>0</v>
      </c>
      <c r="H599" s="1" t="s">
        <v>1221</v>
      </c>
    </row>
    <row r="600" spans="1:8" ht="25.5" x14ac:dyDescent="0.2">
      <c r="A600" t="s">
        <v>2184</v>
      </c>
      <c r="B600" t="s">
        <v>1222</v>
      </c>
      <c r="C600">
        <v>2</v>
      </c>
      <c r="D600" s="1" t="s">
        <v>1223</v>
      </c>
      <c r="E600" t="s">
        <v>2187</v>
      </c>
      <c r="F600">
        <v>0</v>
      </c>
      <c r="G600">
        <v>0</v>
      </c>
    </row>
    <row r="601" spans="1:8" x14ac:dyDescent="0.2">
      <c r="A601" t="s">
        <v>2184</v>
      </c>
      <c r="B601" t="s">
        <v>1224</v>
      </c>
      <c r="C601">
        <v>2</v>
      </c>
      <c r="D601" s="1" t="s">
        <v>1225</v>
      </c>
      <c r="E601" t="s">
        <v>2187</v>
      </c>
      <c r="F601">
        <v>0</v>
      </c>
      <c r="G601">
        <v>0</v>
      </c>
    </row>
    <row r="602" spans="1:8" x14ac:dyDescent="0.2">
      <c r="A602" t="s">
        <v>2184</v>
      </c>
      <c r="B602" t="s">
        <v>1226</v>
      </c>
      <c r="C602">
        <v>2</v>
      </c>
      <c r="D602" s="1" t="s">
        <v>1227</v>
      </c>
      <c r="E602" t="s">
        <v>2187</v>
      </c>
      <c r="F602">
        <v>0</v>
      </c>
      <c r="G602">
        <v>0</v>
      </c>
    </row>
    <row r="603" spans="1:8" ht="165.75" x14ac:dyDescent="0.2">
      <c r="A603" t="s">
        <v>2184</v>
      </c>
      <c r="B603" t="s">
        <v>1228</v>
      </c>
      <c r="C603">
        <v>1</v>
      </c>
      <c r="D603" s="1" t="s">
        <v>523</v>
      </c>
      <c r="E603" t="s">
        <v>2149</v>
      </c>
      <c r="F603">
        <v>1</v>
      </c>
      <c r="G603">
        <v>1.5</v>
      </c>
      <c r="H603" s="2" t="s">
        <v>524</v>
      </c>
    </row>
    <row r="604" spans="1:8" ht="165.75" x14ac:dyDescent="0.2">
      <c r="A604" t="s">
        <v>2184</v>
      </c>
      <c r="B604" t="s">
        <v>525</v>
      </c>
      <c r="C604">
        <v>1</v>
      </c>
      <c r="D604" s="1" t="s">
        <v>526</v>
      </c>
      <c r="E604" t="s">
        <v>2149</v>
      </c>
      <c r="F604">
        <v>1</v>
      </c>
      <c r="G604">
        <v>1.4</v>
      </c>
      <c r="H604" s="2" t="s">
        <v>527</v>
      </c>
    </row>
    <row r="605" spans="1:8" x14ac:dyDescent="0.2">
      <c r="A605" t="s">
        <v>2184</v>
      </c>
      <c r="B605" t="s">
        <v>528</v>
      </c>
      <c r="C605">
        <v>2</v>
      </c>
      <c r="D605" s="1" t="s">
        <v>529</v>
      </c>
      <c r="E605" t="s">
        <v>2187</v>
      </c>
      <c r="F605">
        <v>0</v>
      </c>
      <c r="G605">
        <v>0</v>
      </c>
    </row>
    <row r="606" spans="1:8" ht="165.75" x14ac:dyDescent="0.2">
      <c r="A606" t="s">
        <v>2184</v>
      </c>
      <c r="B606" t="s">
        <v>530</v>
      </c>
      <c r="C606">
        <v>1</v>
      </c>
      <c r="D606" s="1" t="s">
        <v>531</v>
      </c>
      <c r="E606" t="s">
        <v>2149</v>
      </c>
      <c r="F606">
        <v>1</v>
      </c>
      <c r="G606">
        <v>0</v>
      </c>
      <c r="H606" s="2" t="s">
        <v>30</v>
      </c>
    </row>
    <row r="607" spans="1:8" ht="165.75" x14ac:dyDescent="0.2">
      <c r="A607" t="s">
        <v>2184</v>
      </c>
      <c r="B607" t="s">
        <v>31</v>
      </c>
      <c r="C607">
        <v>1</v>
      </c>
      <c r="D607" s="1" t="s">
        <v>32</v>
      </c>
      <c r="E607" t="s">
        <v>2149</v>
      </c>
      <c r="F607">
        <v>1</v>
      </c>
      <c r="G607">
        <v>12</v>
      </c>
      <c r="H607" s="2" t="s">
        <v>33</v>
      </c>
    </row>
    <row r="608" spans="1:8" ht="25.5" x14ac:dyDescent="0.2">
      <c r="A608" t="s">
        <v>2184</v>
      </c>
      <c r="B608" t="s">
        <v>34</v>
      </c>
      <c r="C608">
        <v>2</v>
      </c>
      <c r="D608" s="1" t="s">
        <v>35</v>
      </c>
      <c r="E608" t="s">
        <v>2187</v>
      </c>
      <c r="F608">
        <v>0</v>
      </c>
      <c r="G608">
        <v>0</v>
      </c>
    </row>
    <row r="609" spans="1:8" ht="38.25" x14ac:dyDescent="0.2">
      <c r="A609" t="s">
        <v>2184</v>
      </c>
      <c r="B609" t="s">
        <v>36</v>
      </c>
      <c r="C609">
        <v>2</v>
      </c>
      <c r="D609" s="1" t="s">
        <v>37</v>
      </c>
      <c r="E609" t="s">
        <v>2187</v>
      </c>
      <c r="F609">
        <v>0</v>
      </c>
      <c r="G609">
        <v>0</v>
      </c>
    </row>
    <row r="610" spans="1:8" ht="153" x14ac:dyDescent="0.2">
      <c r="A610" t="s">
        <v>2184</v>
      </c>
      <c r="B610" t="s">
        <v>38</v>
      </c>
      <c r="C610">
        <v>1</v>
      </c>
      <c r="D610" s="1" t="s">
        <v>39</v>
      </c>
      <c r="E610" t="s">
        <v>2149</v>
      </c>
      <c r="F610">
        <v>1</v>
      </c>
      <c r="G610">
        <v>1.5</v>
      </c>
      <c r="H610" s="2" t="s">
        <v>448</v>
      </c>
    </row>
    <row r="611" spans="1:8" ht="153" x14ac:dyDescent="0.2">
      <c r="A611" t="s">
        <v>2184</v>
      </c>
      <c r="B611" t="s">
        <v>449</v>
      </c>
      <c r="C611">
        <v>1</v>
      </c>
      <c r="D611" s="1" t="s">
        <v>450</v>
      </c>
      <c r="E611" t="s">
        <v>2149</v>
      </c>
      <c r="F611">
        <v>1</v>
      </c>
      <c r="G611">
        <v>1.5</v>
      </c>
      <c r="H611" s="2" t="s">
        <v>850</v>
      </c>
    </row>
    <row r="612" spans="1:8" x14ac:dyDescent="0.2">
      <c r="A612" t="s">
        <v>2184</v>
      </c>
      <c r="B612" t="s">
        <v>851</v>
      </c>
      <c r="C612">
        <v>2</v>
      </c>
      <c r="D612" s="1" t="s">
        <v>852</v>
      </c>
      <c r="E612" t="s">
        <v>2187</v>
      </c>
      <c r="F612">
        <v>0</v>
      </c>
      <c r="G612">
        <v>0</v>
      </c>
    </row>
    <row r="613" spans="1:8" ht="153" x14ac:dyDescent="0.2">
      <c r="A613" t="s">
        <v>2184</v>
      </c>
      <c r="B613" t="s">
        <v>853</v>
      </c>
      <c r="C613">
        <v>1</v>
      </c>
      <c r="D613" s="1" t="s">
        <v>854</v>
      </c>
      <c r="E613" t="s">
        <v>2149</v>
      </c>
      <c r="F613">
        <v>1</v>
      </c>
      <c r="G613">
        <v>1.5</v>
      </c>
      <c r="H613" s="2" t="s">
        <v>855</v>
      </c>
    </row>
    <row r="614" spans="1:8" ht="153" x14ac:dyDescent="0.2">
      <c r="A614" t="s">
        <v>2184</v>
      </c>
      <c r="B614" t="s">
        <v>856</v>
      </c>
      <c r="C614">
        <v>1</v>
      </c>
      <c r="D614" s="1" t="s">
        <v>857</v>
      </c>
      <c r="E614" t="s">
        <v>2149</v>
      </c>
      <c r="F614">
        <v>1</v>
      </c>
      <c r="G614">
        <v>1.2</v>
      </c>
      <c r="H614" s="2" t="s">
        <v>858</v>
      </c>
    </row>
    <row r="615" spans="1:8" ht="25.5" x14ac:dyDescent="0.2">
      <c r="A615" t="s">
        <v>2184</v>
      </c>
      <c r="B615" t="s">
        <v>859</v>
      </c>
      <c r="C615">
        <v>2</v>
      </c>
      <c r="D615" s="1" t="s">
        <v>860</v>
      </c>
      <c r="E615" t="s">
        <v>2187</v>
      </c>
      <c r="F615">
        <v>0</v>
      </c>
      <c r="G615">
        <v>0</v>
      </c>
    </row>
    <row r="616" spans="1:8" ht="127.5" x14ac:dyDescent="0.2">
      <c r="A616" t="s">
        <v>2184</v>
      </c>
      <c r="B616" t="s">
        <v>861</v>
      </c>
      <c r="C616">
        <v>1</v>
      </c>
      <c r="D616" s="1" t="s">
        <v>862</v>
      </c>
      <c r="E616" t="s">
        <v>2149</v>
      </c>
      <c r="F616">
        <v>1</v>
      </c>
      <c r="G616">
        <v>0</v>
      </c>
      <c r="H616" s="2" t="s">
        <v>863</v>
      </c>
    </row>
    <row r="617" spans="1:8" x14ac:dyDescent="0.2">
      <c r="A617" t="s">
        <v>2184</v>
      </c>
      <c r="B617" t="s">
        <v>864</v>
      </c>
      <c r="C617">
        <v>2</v>
      </c>
      <c r="D617" s="1" t="s">
        <v>865</v>
      </c>
      <c r="E617" t="s">
        <v>2187</v>
      </c>
      <c r="F617">
        <v>0</v>
      </c>
      <c r="G617">
        <v>0</v>
      </c>
    </row>
    <row r="618" spans="1:8" ht="127.5" x14ac:dyDescent="0.2">
      <c r="A618" t="s">
        <v>2184</v>
      </c>
      <c r="B618" t="s">
        <v>866</v>
      </c>
      <c r="C618">
        <v>1</v>
      </c>
      <c r="D618" s="1" t="s">
        <v>867</v>
      </c>
      <c r="E618" t="s">
        <v>2149</v>
      </c>
      <c r="F618">
        <v>1</v>
      </c>
      <c r="G618">
        <v>2.2000000000000002</v>
      </c>
      <c r="H618" s="2" t="s">
        <v>868</v>
      </c>
    </row>
    <row r="619" spans="1:8" ht="127.5" x14ac:dyDescent="0.2">
      <c r="A619" t="s">
        <v>2184</v>
      </c>
      <c r="B619" t="s">
        <v>869</v>
      </c>
      <c r="C619">
        <v>1</v>
      </c>
      <c r="D619" s="1" t="s">
        <v>870</v>
      </c>
      <c r="E619" t="s">
        <v>2149</v>
      </c>
      <c r="F619">
        <v>1</v>
      </c>
      <c r="G619">
        <v>1.8</v>
      </c>
      <c r="H619" s="2" t="s">
        <v>871</v>
      </c>
    </row>
    <row r="620" spans="1:8" x14ac:dyDescent="0.2">
      <c r="A620" t="s">
        <v>2184</v>
      </c>
      <c r="B620" t="s">
        <v>872</v>
      </c>
      <c r="C620">
        <v>2</v>
      </c>
      <c r="D620" s="1" t="s">
        <v>873</v>
      </c>
      <c r="E620" t="s">
        <v>2187</v>
      </c>
      <c r="F620">
        <v>0</v>
      </c>
      <c r="G620">
        <v>0</v>
      </c>
    </row>
    <row r="621" spans="1:8" x14ac:dyDescent="0.2">
      <c r="A621" t="s">
        <v>2184</v>
      </c>
      <c r="B621" t="s">
        <v>874</v>
      </c>
      <c r="C621">
        <v>2</v>
      </c>
      <c r="D621" s="1" t="s">
        <v>875</v>
      </c>
      <c r="E621" t="s">
        <v>2187</v>
      </c>
      <c r="F621">
        <v>0</v>
      </c>
      <c r="G621">
        <v>0</v>
      </c>
    </row>
    <row r="622" spans="1:8" ht="25.5" x14ac:dyDescent="0.2">
      <c r="A622" t="s">
        <v>2184</v>
      </c>
      <c r="B622" t="s">
        <v>876</v>
      </c>
      <c r="C622">
        <v>2</v>
      </c>
      <c r="D622" s="1" t="s">
        <v>877</v>
      </c>
      <c r="E622" t="s">
        <v>2187</v>
      </c>
      <c r="F622">
        <v>0</v>
      </c>
      <c r="G622">
        <v>0</v>
      </c>
    </row>
    <row r="623" spans="1:8" ht="102" x14ac:dyDescent="0.2">
      <c r="A623" t="s">
        <v>2184</v>
      </c>
      <c r="B623" t="s">
        <v>878</v>
      </c>
      <c r="C623">
        <v>1</v>
      </c>
      <c r="D623" s="1" t="s">
        <v>879</v>
      </c>
      <c r="E623" t="s">
        <v>2108</v>
      </c>
      <c r="F623">
        <v>1</v>
      </c>
      <c r="G623">
        <v>13</v>
      </c>
      <c r="H623" s="2" t="s">
        <v>475</v>
      </c>
    </row>
    <row r="624" spans="1:8" ht="102" x14ac:dyDescent="0.2">
      <c r="A624" t="s">
        <v>2184</v>
      </c>
      <c r="B624" t="s">
        <v>476</v>
      </c>
      <c r="C624">
        <v>1</v>
      </c>
      <c r="D624" s="1" t="s">
        <v>477</v>
      </c>
      <c r="E624" t="s">
        <v>2108</v>
      </c>
      <c r="F624">
        <v>1</v>
      </c>
      <c r="G624">
        <v>13</v>
      </c>
      <c r="H624" s="2" t="s">
        <v>478</v>
      </c>
    </row>
    <row r="625" spans="1:8" ht="102" x14ac:dyDescent="0.2">
      <c r="A625" t="s">
        <v>2184</v>
      </c>
      <c r="B625" t="s">
        <v>479</v>
      </c>
      <c r="C625">
        <v>1</v>
      </c>
      <c r="D625" s="1" t="s">
        <v>480</v>
      </c>
      <c r="E625" t="s">
        <v>2108</v>
      </c>
      <c r="F625">
        <v>1</v>
      </c>
      <c r="G625">
        <v>15</v>
      </c>
      <c r="H625" s="2" t="s">
        <v>481</v>
      </c>
    </row>
    <row r="626" spans="1:8" ht="102" x14ac:dyDescent="0.2">
      <c r="A626" t="s">
        <v>2184</v>
      </c>
      <c r="B626" t="s">
        <v>482</v>
      </c>
      <c r="C626">
        <v>1</v>
      </c>
      <c r="D626" s="1" t="s">
        <v>483</v>
      </c>
      <c r="E626" t="s">
        <v>2108</v>
      </c>
      <c r="F626">
        <v>1</v>
      </c>
      <c r="G626">
        <v>15</v>
      </c>
      <c r="H626" s="2" t="s">
        <v>484</v>
      </c>
    </row>
    <row r="627" spans="1:8" ht="153" x14ac:dyDescent="0.2">
      <c r="A627" t="s">
        <v>2184</v>
      </c>
      <c r="B627" t="s">
        <v>485</v>
      </c>
      <c r="C627">
        <v>1</v>
      </c>
      <c r="D627" s="1" t="s">
        <v>486</v>
      </c>
      <c r="E627" t="s">
        <v>2108</v>
      </c>
      <c r="F627">
        <v>1</v>
      </c>
      <c r="G627">
        <v>50</v>
      </c>
      <c r="H627" s="2" t="s">
        <v>1274</v>
      </c>
    </row>
    <row r="628" spans="1:8" ht="76.5" x14ac:dyDescent="0.2">
      <c r="A628" t="s">
        <v>2184</v>
      </c>
      <c r="B628" t="s">
        <v>1275</v>
      </c>
      <c r="C628">
        <v>1</v>
      </c>
      <c r="D628" s="1" t="s">
        <v>1276</v>
      </c>
      <c r="E628" t="s">
        <v>2108</v>
      </c>
      <c r="F628">
        <v>1</v>
      </c>
      <c r="G628">
        <v>0</v>
      </c>
      <c r="H628" s="2" t="s">
        <v>1277</v>
      </c>
    </row>
    <row r="629" spans="1:8" ht="76.5" x14ac:dyDescent="0.2">
      <c r="A629" t="s">
        <v>2184</v>
      </c>
      <c r="B629" t="s">
        <v>1278</v>
      </c>
      <c r="C629">
        <v>1</v>
      </c>
      <c r="D629" s="1" t="s">
        <v>1279</v>
      </c>
      <c r="E629" t="s">
        <v>2108</v>
      </c>
      <c r="F629">
        <v>1</v>
      </c>
      <c r="G629">
        <v>0</v>
      </c>
      <c r="H629" s="2" t="s">
        <v>1280</v>
      </c>
    </row>
    <row r="630" spans="1:8" ht="76.5" x14ac:dyDescent="0.2">
      <c r="A630" t="s">
        <v>2184</v>
      </c>
      <c r="B630" t="s">
        <v>1281</v>
      </c>
      <c r="C630">
        <v>1</v>
      </c>
      <c r="D630" s="1" t="s">
        <v>1282</v>
      </c>
      <c r="E630" t="s">
        <v>2108</v>
      </c>
      <c r="F630">
        <v>1</v>
      </c>
      <c r="G630">
        <v>80</v>
      </c>
      <c r="H630" s="2" t="s">
        <v>1283</v>
      </c>
    </row>
    <row r="631" spans="1:8" ht="76.5" x14ac:dyDescent="0.2">
      <c r="A631" t="s">
        <v>2184</v>
      </c>
      <c r="B631" t="s">
        <v>1284</v>
      </c>
      <c r="C631">
        <v>1</v>
      </c>
      <c r="D631" s="1" t="s">
        <v>1285</v>
      </c>
      <c r="E631" t="s">
        <v>2108</v>
      </c>
      <c r="F631">
        <v>1</v>
      </c>
      <c r="G631">
        <v>110</v>
      </c>
      <c r="H631" s="2" t="s">
        <v>1286</v>
      </c>
    </row>
    <row r="632" spans="1:8" ht="76.5" x14ac:dyDescent="0.2">
      <c r="A632" t="s">
        <v>2184</v>
      </c>
      <c r="B632" t="s">
        <v>1287</v>
      </c>
      <c r="C632">
        <v>1</v>
      </c>
      <c r="D632" s="1" t="s">
        <v>1288</v>
      </c>
      <c r="E632" t="s">
        <v>2149</v>
      </c>
      <c r="F632">
        <v>1</v>
      </c>
      <c r="G632">
        <v>0</v>
      </c>
      <c r="H632" s="2" t="s">
        <v>1289</v>
      </c>
    </row>
    <row r="633" spans="1:8" ht="76.5" x14ac:dyDescent="0.2">
      <c r="A633" t="s">
        <v>2184</v>
      </c>
      <c r="B633" t="s">
        <v>1290</v>
      </c>
      <c r="C633">
        <v>1</v>
      </c>
      <c r="D633" s="1" t="s">
        <v>1291</v>
      </c>
      <c r="E633" t="s">
        <v>2204</v>
      </c>
      <c r="F633">
        <v>1</v>
      </c>
      <c r="G633">
        <v>20</v>
      </c>
      <c r="H633" s="2" t="s">
        <v>1292</v>
      </c>
    </row>
    <row r="634" spans="1:8" x14ac:dyDescent="0.2">
      <c r="A634" t="s">
        <v>2184</v>
      </c>
      <c r="B634" t="s">
        <v>1293</v>
      </c>
      <c r="C634">
        <v>2</v>
      </c>
      <c r="D634" s="1" t="s">
        <v>1294</v>
      </c>
      <c r="E634" t="s">
        <v>2187</v>
      </c>
      <c r="F634">
        <v>0</v>
      </c>
      <c r="G634">
        <v>0</v>
      </c>
    </row>
    <row r="635" spans="1:8" ht="114.75" x14ac:dyDescent="0.2">
      <c r="A635" t="s">
        <v>2184</v>
      </c>
      <c r="B635" t="s">
        <v>1295</v>
      </c>
      <c r="C635">
        <v>1</v>
      </c>
      <c r="D635" s="1" t="s">
        <v>1296</v>
      </c>
      <c r="E635" t="s">
        <v>2149</v>
      </c>
      <c r="F635">
        <v>1</v>
      </c>
      <c r="G635">
        <v>5</v>
      </c>
      <c r="H635" s="2" t="s">
        <v>923</v>
      </c>
    </row>
    <row r="636" spans="1:8" ht="89.25" x14ac:dyDescent="0.2">
      <c r="A636" t="s">
        <v>2184</v>
      </c>
      <c r="B636" t="s">
        <v>924</v>
      </c>
      <c r="C636">
        <v>1</v>
      </c>
      <c r="D636" s="1" t="s">
        <v>925</v>
      </c>
      <c r="E636" t="s">
        <v>2108</v>
      </c>
      <c r="F636">
        <v>1</v>
      </c>
      <c r="G636">
        <v>2.5</v>
      </c>
      <c r="H636" s="2" t="s">
        <v>926</v>
      </c>
    </row>
    <row r="637" spans="1:8" x14ac:dyDescent="0.2">
      <c r="A637" t="s">
        <v>2184</v>
      </c>
      <c r="B637" t="s">
        <v>927</v>
      </c>
      <c r="C637">
        <v>2</v>
      </c>
      <c r="D637" s="1" t="s">
        <v>928</v>
      </c>
      <c r="E637" t="s">
        <v>2187</v>
      </c>
      <c r="F637">
        <v>0</v>
      </c>
      <c r="G637">
        <v>0</v>
      </c>
    </row>
    <row r="638" spans="1:8" ht="89.25" x14ac:dyDescent="0.2">
      <c r="A638" t="s">
        <v>2184</v>
      </c>
      <c r="B638" t="s">
        <v>929</v>
      </c>
      <c r="C638">
        <v>1</v>
      </c>
      <c r="D638" s="1" t="s">
        <v>930</v>
      </c>
      <c r="E638" t="s">
        <v>2149</v>
      </c>
      <c r="F638">
        <v>1</v>
      </c>
      <c r="G638">
        <v>5.5</v>
      </c>
      <c r="H638" s="2" t="s">
        <v>931</v>
      </c>
    </row>
    <row r="639" spans="1:8" ht="76.5" x14ac:dyDescent="0.2">
      <c r="A639" t="s">
        <v>2184</v>
      </c>
      <c r="B639" t="s">
        <v>932</v>
      </c>
      <c r="C639">
        <v>1</v>
      </c>
      <c r="D639" s="1" t="s">
        <v>933</v>
      </c>
      <c r="E639" t="s">
        <v>2149</v>
      </c>
      <c r="F639">
        <v>1</v>
      </c>
      <c r="G639">
        <v>5</v>
      </c>
      <c r="H639" s="2" t="s">
        <v>934</v>
      </c>
    </row>
    <row r="640" spans="1:8" ht="76.5" x14ac:dyDescent="0.2">
      <c r="A640" t="s">
        <v>2184</v>
      </c>
      <c r="B640" t="s">
        <v>935</v>
      </c>
      <c r="C640">
        <v>1</v>
      </c>
      <c r="D640" s="1" t="s">
        <v>936</v>
      </c>
      <c r="E640" t="s">
        <v>2149</v>
      </c>
      <c r="F640">
        <v>1</v>
      </c>
      <c r="G640">
        <v>10</v>
      </c>
      <c r="H640" s="2" t="s">
        <v>945</v>
      </c>
    </row>
    <row r="641" spans="1:8" x14ac:dyDescent="0.2">
      <c r="A641" t="s">
        <v>2184</v>
      </c>
      <c r="B641" t="s">
        <v>946</v>
      </c>
      <c r="C641">
        <v>2</v>
      </c>
      <c r="D641" s="1" t="s">
        <v>947</v>
      </c>
      <c r="E641" t="s">
        <v>2187</v>
      </c>
      <c r="F641">
        <v>0</v>
      </c>
      <c r="G641">
        <v>0</v>
      </c>
    </row>
    <row r="642" spans="1:8" ht="76.5" x14ac:dyDescent="0.2">
      <c r="A642" t="s">
        <v>2184</v>
      </c>
      <c r="B642" t="s">
        <v>948</v>
      </c>
      <c r="C642">
        <v>1</v>
      </c>
      <c r="D642" s="1" t="s">
        <v>949</v>
      </c>
      <c r="E642" t="s">
        <v>2108</v>
      </c>
      <c r="F642">
        <v>1</v>
      </c>
      <c r="G642">
        <v>1.5</v>
      </c>
      <c r="H642" s="2" t="s">
        <v>532</v>
      </c>
    </row>
    <row r="643" spans="1:8" ht="76.5" x14ac:dyDescent="0.2">
      <c r="A643" t="s">
        <v>2184</v>
      </c>
      <c r="B643" t="s">
        <v>533</v>
      </c>
      <c r="C643">
        <v>1</v>
      </c>
      <c r="D643" s="1" t="s">
        <v>534</v>
      </c>
      <c r="E643" t="s">
        <v>2108</v>
      </c>
      <c r="F643">
        <v>1</v>
      </c>
      <c r="G643">
        <v>1.5</v>
      </c>
      <c r="H643" s="2" t="s">
        <v>535</v>
      </c>
    </row>
    <row r="644" spans="1:8" ht="76.5" x14ac:dyDescent="0.2">
      <c r="A644" t="s">
        <v>2184</v>
      </c>
      <c r="B644" t="s">
        <v>536</v>
      </c>
      <c r="C644">
        <v>1</v>
      </c>
      <c r="D644" s="1" t="s">
        <v>537</v>
      </c>
      <c r="E644" t="s">
        <v>2108</v>
      </c>
      <c r="F644">
        <v>1</v>
      </c>
      <c r="G644">
        <v>18</v>
      </c>
      <c r="H644" s="2" t="s">
        <v>538</v>
      </c>
    </row>
    <row r="645" spans="1:8" ht="127.5" x14ac:dyDescent="0.2">
      <c r="A645" t="s">
        <v>2184</v>
      </c>
      <c r="B645" t="s">
        <v>539</v>
      </c>
      <c r="C645">
        <v>1</v>
      </c>
      <c r="D645" s="1" t="s">
        <v>540</v>
      </c>
      <c r="E645" t="s">
        <v>2108</v>
      </c>
      <c r="F645">
        <v>1</v>
      </c>
      <c r="G645">
        <v>22</v>
      </c>
      <c r="H645" s="2" t="s">
        <v>541</v>
      </c>
    </row>
    <row r="646" spans="1:8" x14ac:dyDescent="0.2">
      <c r="A646" t="s">
        <v>2184</v>
      </c>
      <c r="B646" t="s">
        <v>542</v>
      </c>
      <c r="C646">
        <v>2</v>
      </c>
      <c r="D646" s="1" t="s">
        <v>543</v>
      </c>
      <c r="E646" t="s">
        <v>2187</v>
      </c>
      <c r="F646">
        <v>0</v>
      </c>
      <c r="G646">
        <v>0</v>
      </c>
    </row>
    <row r="647" spans="1:8" ht="102" x14ac:dyDescent="0.2">
      <c r="A647" t="s">
        <v>2184</v>
      </c>
      <c r="B647" t="s">
        <v>544</v>
      </c>
      <c r="C647">
        <v>1</v>
      </c>
      <c r="D647" s="1" t="s">
        <v>545</v>
      </c>
      <c r="E647" t="s">
        <v>2108</v>
      </c>
      <c r="F647">
        <v>1</v>
      </c>
      <c r="G647">
        <v>20</v>
      </c>
      <c r="H647" s="2" t="s">
        <v>546</v>
      </c>
    </row>
    <row r="648" spans="1:8" ht="153" x14ac:dyDescent="0.2">
      <c r="A648" t="s">
        <v>2184</v>
      </c>
      <c r="B648" t="s">
        <v>547</v>
      </c>
      <c r="C648">
        <v>1</v>
      </c>
      <c r="D648" s="1" t="s">
        <v>118</v>
      </c>
      <c r="E648" t="s">
        <v>2149</v>
      </c>
      <c r="F648">
        <v>1</v>
      </c>
      <c r="G648">
        <v>12</v>
      </c>
      <c r="H648" s="2" t="s">
        <v>119</v>
      </c>
    </row>
    <row r="649" spans="1:8" ht="102" x14ac:dyDescent="0.2">
      <c r="A649" t="s">
        <v>2184</v>
      </c>
      <c r="B649" t="s">
        <v>120</v>
      </c>
      <c r="C649">
        <v>1</v>
      </c>
      <c r="D649" s="1" t="s">
        <v>121</v>
      </c>
      <c r="E649" t="s">
        <v>2149</v>
      </c>
      <c r="F649">
        <v>1</v>
      </c>
      <c r="G649">
        <v>3.5</v>
      </c>
      <c r="H649" s="2" t="s">
        <v>122</v>
      </c>
    </row>
    <row r="650" spans="1:8" x14ac:dyDescent="0.2">
      <c r="A650" t="s">
        <v>2184</v>
      </c>
      <c r="B650" t="s">
        <v>123</v>
      </c>
      <c r="C650">
        <v>2</v>
      </c>
      <c r="D650" s="1" t="s">
        <v>124</v>
      </c>
      <c r="E650" t="s">
        <v>2187</v>
      </c>
      <c r="F650">
        <v>0</v>
      </c>
      <c r="G650">
        <v>0</v>
      </c>
    </row>
    <row r="651" spans="1:8" ht="25.5" x14ac:dyDescent="0.2">
      <c r="A651" t="s">
        <v>2184</v>
      </c>
      <c r="B651" t="s">
        <v>125</v>
      </c>
      <c r="C651">
        <v>2</v>
      </c>
      <c r="D651" s="1" t="s">
        <v>126</v>
      </c>
      <c r="E651" t="s">
        <v>2187</v>
      </c>
      <c r="F651">
        <v>0</v>
      </c>
      <c r="G651">
        <v>0</v>
      </c>
    </row>
    <row r="652" spans="1:8" ht="165.75" x14ac:dyDescent="0.2">
      <c r="A652" t="s">
        <v>2184</v>
      </c>
      <c r="B652" t="s">
        <v>127</v>
      </c>
      <c r="C652">
        <v>1</v>
      </c>
      <c r="D652" s="1" t="s">
        <v>128</v>
      </c>
      <c r="E652" t="s">
        <v>2108</v>
      </c>
      <c r="F652">
        <v>1</v>
      </c>
      <c r="G652">
        <v>0</v>
      </c>
      <c r="H652" s="2" t="s">
        <v>558</v>
      </c>
    </row>
    <row r="653" spans="1:8" ht="165.75" x14ac:dyDescent="0.2">
      <c r="A653" t="s">
        <v>2184</v>
      </c>
      <c r="B653" t="s">
        <v>559</v>
      </c>
      <c r="C653">
        <v>1</v>
      </c>
      <c r="D653" s="1" t="s">
        <v>560</v>
      </c>
      <c r="E653" t="s">
        <v>2108</v>
      </c>
      <c r="F653">
        <v>1</v>
      </c>
      <c r="G653">
        <v>0</v>
      </c>
      <c r="H653" s="2" t="s">
        <v>561</v>
      </c>
    </row>
    <row r="654" spans="1:8" x14ac:dyDescent="0.2">
      <c r="A654" t="s">
        <v>2184</v>
      </c>
      <c r="B654" t="s">
        <v>562</v>
      </c>
      <c r="C654">
        <v>2</v>
      </c>
      <c r="D654" s="1" t="s">
        <v>563</v>
      </c>
      <c r="E654" t="s">
        <v>2187</v>
      </c>
      <c r="F654">
        <v>0</v>
      </c>
      <c r="G654">
        <v>0</v>
      </c>
    </row>
    <row r="655" spans="1:8" ht="153" x14ac:dyDescent="0.2">
      <c r="A655" t="s">
        <v>2184</v>
      </c>
      <c r="B655" t="s">
        <v>564</v>
      </c>
      <c r="C655">
        <v>2</v>
      </c>
      <c r="D655" s="1" t="s">
        <v>565</v>
      </c>
      <c r="E655" t="s">
        <v>2187</v>
      </c>
      <c r="F655">
        <v>0</v>
      </c>
      <c r="G655">
        <v>0</v>
      </c>
      <c r="H655" s="2" t="s">
        <v>144</v>
      </c>
    </row>
    <row r="656" spans="1:8" ht="38.25" x14ac:dyDescent="0.2">
      <c r="A656" t="s">
        <v>2184</v>
      </c>
      <c r="B656" t="s">
        <v>145</v>
      </c>
      <c r="C656">
        <v>1</v>
      </c>
      <c r="D656" s="1" t="s">
        <v>146</v>
      </c>
      <c r="E656" t="s">
        <v>2108</v>
      </c>
      <c r="F656">
        <v>1</v>
      </c>
      <c r="G656">
        <v>5</v>
      </c>
      <c r="H656" s="1" t="s">
        <v>147</v>
      </c>
    </row>
    <row r="657" spans="1:8" ht="38.25" x14ac:dyDescent="0.2">
      <c r="A657" t="s">
        <v>2184</v>
      </c>
      <c r="B657" t="s">
        <v>148</v>
      </c>
      <c r="C657">
        <v>1</v>
      </c>
      <c r="D657" s="1" t="s">
        <v>149</v>
      </c>
      <c r="E657" t="s">
        <v>2108</v>
      </c>
      <c r="F657">
        <v>1</v>
      </c>
      <c r="G657">
        <v>25</v>
      </c>
      <c r="H657" s="1" t="s">
        <v>150</v>
      </c>
    </row>
    <row r="658" spans="1:8" ht="38.25" x14ac:dyDescent="0.2">
      <c r="A658" t="s">
        <v>2184</v>
      </c>
      <c r="B658" t="s">
        <v>151</v>
      </c>
      <c r="C658">
        <v>1</v>
      </c>
      <c r="D658" s="1" t="s">
        <v>152</v>
      </c>
      <c r="E658" t="s">
        <v>2108</v>
      </c>
      <c r="F658">
        <v>1</v>
      </c>
      <c r="G658">
        <v>30</v>
      </c>
      <c r="H658" s="1" t="s">
        <v>153</v>
      </c>
    </row>
    <row r="659" spans="1:8" ht="38.25" x14ac:dyDescent="0.2">
      <c r="A659" t="s">
        <v>2184</v>
      </c>
      <c r="B659" t="s">
        <v>154</v>
      </c>
      <c r="C659">
        <v>1</v>
      </c>
      <c r="D659" s="1" t="s">
        <v>155</v>
      </c>
      <c r="E659" t="s">
        <v>2108</v>
      </c>
      <c r="F659">
        <v>1</v>
      </c>
      <c r="G659">
        <v>40</v>
      </c>
      <c r="H659" s="1" t="s">
        <v>156</v>
      </c>
    </row>
    <row r="660" spans="1:8" ht="38.25" x14ac:dyDescent="0.2">
      <c r="A660" t="s">
        <v>2184</v>
      </c>
      <c r="B660" t="s">
        <v>157</v>
      </c>
      <c r="C660">
        <v>1</v>
      </c>
      <c r="D660" s="1" t="s">
        <v>158</v>
      </c>
      <c r="E660" t="s">
        <v>2108</v>
      </c>
      <c r="F660">
        <v>1</v>
      </c>
      <c r="G660">
        <v>0</v>
      </c>
      <c r="H660" s="1" t="s">
        <v>577</v>
      </c>
    </row>
    <row r="661" spans="1:8" ht="38.25" x14ac:dyDescent="0.2">
      <c r="A661" t="s">
        <v>2184</v>
      </c>
      <c r="B661" t="s">
        <v>578</v>
      </c>
      <c r="C661">
        <v>1</v>
      </c>
      <c r="D661" s="1" t="s">
        <v>579</v>
      </c>
      <c r="E661" t="s">
        <v>2108</v>
      </c>
      <c r="F661">
        <v>1</v>
      </c>
      <c r="G661">
        <v>0</v>
      </c>
      <c r="H661" s="1" t="s">
        <v>580</v>
      </c>
    </row>
    <row r="662" spans="1:8" ht="38.25" x14ac:dyDescent="0.2">
      <c r="A662" t="s">
        <v>2184</v>
      </c>
      <c r="B662" t="s">
        <v>581</v>
      </c>
      <c r="C662">
        <v>1</v>
      </c>
      <c r="D662" s="1" t="s">
        <v>582</v>
      </c>
      <c r="E662" t="s">
        <v>2108</v>
      </c>
      <c r="F662">
        <v>1</v>
      </c>
      <c r="G662">
        <v>0</v>
      </c>
      <c r="H662" s="1" t="s">
        <v>583</v>
      </c>
    </row>
    <row r="663" spans="1:8" ht="38.25" x14ac:dyDescent="0.2">
      <c r="A663" t="s">
        <v>2184</v>
      </c>
      <c r="B663" t="s">
        <v>584</v>
      </c>
      <c r="C663">
        <v>1</v>
      </c>
      <c r="D663" s="1" t="s">
        <v>585</v>
      </c>
      <c r="E663" t="s">
        <v>2108</v>
      </c>
      <c r="F663">
        <v>1</v>
      </c>
      <c r="G663">
        <v>0</v>
      </c>
      <c r="H663" s="1" t="s">
        <v>693</v>
      </c>
    </row>
    <row r="664" spans="1:8" ht="38.25" x14ac:dyDescent="0.2">
      <c r="A664" t="s">
        <v>2184</v>
      </c>
      <c r="B664" t="s">
        <v>694</v>
      </c>
      <c r="C664">
        <v>1</v>
      </c>
      <c r="D664" s="1" t="s">
        <v>695</v>
      </c>
      <c r="E664" t="s">
        <v>2108</v>
      </c>
      <c r="F664">
        <v>1</v>
      </c>
      <c r="G664">
        <v>0</v>
      </c>
      <c r="H664" s="1" t="s">
        <v>696</v>
      </c>
    </row>
    <row r="665" spans="1:8" ht="38.25" x14ac:dyDescent="0.2">
      <c r="A665" t="s">
        <v>2184</v>
      </c>
      <c r="B665" t="s">
        <v>697</v>
      </c>
      <c r="C665">
        <v>1</v>
      </c>
      <c r="D665" s="1" t="s">
        <v>698</v>
      </c>
      <c r="E665" t="s">
        <v>2108</v>
      </c>
      <c r="F665">
        <v>1</v>
      </c>
      <c r="G665">
        <v>0</v>
      </c>
      <c r="H665" s="1" t="s">
        <v>699</v>
      </c>
    </row>
    <row r="666" spans="1:8" ht="38.25" x14ac:dyDescent="0.2">
      <c r="A666" t="s">
        <v>2184</v>
      </c>
      <c r="B666" t="s">
        <v>700</v>
      </c>
      <c r="C666">
        <v>1</v>
      </c>
      <c r="D666" s="1" t="s">
        <v>701</v>
      </c>
      <c r="E666" t="s">
        <v>2108</v>
      </c>
      <c r="F666">
        <v>1</v>
      </c>
      <c r="G666">
        <v>250</v>
      </c>
      <c r="H666" s="1" t="s">
        <v>702</v>
      </c>
    </row>
    <row r="667" spans="1:8" ht="38.25" x14ac:dyDescent="0.2">
      <c r="A667" t="s">
        <v>2184</v>
      </c>
      <c r="B667" t="s">
        <v>703</v>
      </c>
      <c r="C667">
        <v>1</v>
      </c>
      <c r="D667" s="1" t="s">
        <v>704</v>
      </c>
      <c r="E667" t="s">
        <v>2108</v>
      </c>
      <c r="F667">
        <v>1</v>
      </c>
      <c r="G667">
        <v>0</v>
      </c>
      <c r="H667" s="1" t="s">
        <v>705</v>
      </c>
    </row>
    <row r="668" spans="1:8" ht="38.25" x14ac:dyDescent="0.2">
      <c r="A668" t="s">
        <v>2184</v>
      </c>
      <c r="B668" t="s">
        <v>706</v>
      </c>
      <c r="C668">
        <v>1</v>
      </c>
      <c r="D668" s="1" t="s">
        <v>707</v>
      </c>
      <c r="E668" t="s">
        <v>2108</v>
      </c>
      <c r="F668">
        <v>1</v>
      </c>
      <c r="G668">
        <v>0</v>
      </c>
      <c r="H668" s="1" t="s">
        <v>708</v>
      </c>
    </row>
    <row r="669" spans="1:8" ht="204" x14ac:dyDescent="0.2">
      <c r="A669" t="s">
        <v>2184</v>
      </c>
      <c r="B669" t="s">
        <v>709</v>
      </c>
      <c r="C669">
        <v>2</v>
      </c>
      <c r="D669" s="1" t="s">
        <v>710</v>
      </c>
      <c r="E669" t="s">
        <v>2187</v>
      </c>
      <c r="F669">
        <v>0</v>
      </c>
      <c r="G669">
        <v>0</v>
      </c>
      <c r="H669" s="2" t="s">
        <v>711</v>
      </c>
    </row>
    <row r="670" spans="1:8" ht="38.25" x14ac:dyDescent="0.2">
      <c r="A670" t="s">
        <v>2184</v>
      </c>
      <c r="B670" t="s">
        <v>712</v>
      </c>
      <c r="C670">
        <v>1</v>
      </c>
      <c r="D670" s="1" t="s">
        <v>713</v>
      </c>
      <c r="E670" t="s">
        <v>2108</v>
      </c>
      <c r="F670">
        <v>1</v>
      </c>
      <c r="G670">
        <v>4</v>
      </c>
      <c r="H670" s="1" t="s">
        <v>714</v>
      </c>
    </row>
    <row r="671" spans="1:8" ht="38.25" x14ac:dyDescent="0.2">
      <c r="A671" t="s">
        <v>2184</v>
      </c>
      <c r="B671" t="s">
        <v>715</v>
      </c>
      <c r="C671">
        <v>1</v>
      </c>
      <c r="D671" s="1" t="s">
        <v>716</v>
      </c>
      <c r="E671" t="s">
        <v>2108</v>
      </c>
      <c r="F671">
        <v>1</v>
      </c>
      <c r="G671">
        <v>4</v>
      </c>
      <c r="H671" s="1" t="s">
        <v>717</v>
      </c>
    </row>
    <row r="672" spans="1:8" ht="38.25" x14ac:dyDescent="0.2">
      <c r="A672" t="s">
        <v>2184</v>
      </c>
      <c r="B672" t="s">
        <v>718</v>
      </c>
      <c r="C672">
        <v>1</v>
      </c>
      <c r="D672" s="1" t="s">
        <v>719</v>
      </c>
      <c r="E672" t="s">
        <v>2108</v>
      </c>
      <c r="F672">
        <v>1</v>
      </c>
      <c r="G672">
        <v>6</v>
      </c>
      <c r="H672" s="1" t="s">
        <v>720</v>
      </c>
    </row>
    <row r="673" spans="1:8" ht="38.25" x14ac:dyDescent="0.2">
      <c r="A673" t="s">
        <v>2184</v>
      </c>
      <c r="B673" t="s">
        <v>721</v>
      </c>
      <c r="C673">
        <v>1</v>
      </c>
      <c r="D673" s="1" t="s">
        <v>722</v>
      </c>
      <c r="E673" t="s">
        <v>2108</v>
      </c>
      <c r="F673">
        <v>1</v>
      </c>
      <c r="G673">
        <v>7</v>
      </c>
      <c r="H673" s="1" t="s">
        <v>723</v>
      </c>
    </row>
    <row r="674" spans="1:8" ht="38.25" x14ac:dyDescent="0.2">
      <c r="A674" t="s">
        <v>2184</v>
      </c>
      <c r="B674" t="s">
        <v>724</v>
      </c>
      <c r="C674">
        <v>1</v>
      </c>
      <c r="D674" s="1" t="s">
        <v>725</v>
      </c>
      <c r="E674" t="s">
        <v>2108</v>
      </c>
      <c r="F674">
        <v>1</v>
      </c>
      <c r="G674">
        <v>35</v>
      </c>
      <c r="H674" s="1" t="s">
        <v>726</v>
      </c>
    </row>
    <row r="675" spans="1:8" ht="38.25" x14ac:dyDescent="0.2">
      <c r="A675" t="s">
        <v>2184</v>
      </c>
      <c r="B675" t="s">
        <v>727</v>
      </c>
      <c r="C675">
        <v>1</v>
      </c>
      <c r="D675" s="1" t="s">
        <v>728</v>
      </c>
      <c r="E675" t="s">
        <v>2108</v>
      </c>
      <c r="F675">
        <v>1</v>
      </c>
      <c r="G675">
        <v>40</v>
      </c>
      <c r="H675" s="1" t="s">
        <v>729</v>
      </c>
    </row>
    <row r="676" spans="1:8" ht="38.25" x14ac:dyDescent="0.2">
      <c r="A676" t="s">
        <v>2184</v>
      </c>
      <c r="B676" t="s">
        <v>730</v>
      </c>
      <c r="C676">
        <v>1</v>
      </c>
      <c r="D676" s="1" t="s">
        <v>731</v>
      </c>
      <c r="E676" t="s">
        <v>2108</v>
      </c>
      <c r="F676">
        <v>1</v>
      </c>
      <c r="G676">
        <v>55</v>
      </c>
      <c r="H676" s="1" t="s">
        <v>732</v>
      </c>
    </row>
    <row r="677" spans="1:8" ht="38.25" x14ac:dyDescent="0.2">
      <c r="A677" t="s">
        <v>2184</v>
      </c>
      <c r="B677" t="s">
        <v>733</v>
      </c>
      <c r="C677">
        <v>1</v>
      </c>
      <c r="D677" s="1" t="s">
        <v>734</v>
      </c>
      <c r="E677" t="s">
        <v>2108</v>
      </c>
      <c r="F677">
        <v>1</v>
      </c>
      <c r="G677">
        <v>65</v>
      </c>
      <c r="H677" s="1" t="s">
        <v>735</v>
      </c>
    </row>
    <row r="678" spans="1:8" ht="38.25" x14ac:dyDescent="0.2">
      <c r="A678" t="s">
        <v>2184</v>
      </c>
      <c r="B678" t="s">
        <v>736</v>
      </c>
      <c r="C678">
        <v>1</v>
      </c>
      <c r="D678" s="1" t="s">
        <v>737</v>
      </c>
      <c r="E678" t="s">
        <v>2108</v>
      </c>
      <c r="F678">
        <v>1</v>
      </c>
      <c r="G678">
        <v>80</v>
      </c>
      <c r="H678" s="1" t="s">
        <v>738</v>
      </c>
    </row>
    <row r="679" spans="1:8" ht="38.25" x14ac:dyDescent="0.2">
      <c r="A679" t="s">
        <v>2184</v>
      </c>
      <c r="B679" t="s">
        <v>739</v>
      </c>
      <c r="C679">
        <v>1</v>
      </c>
      <c r="D679" s="1" t="s">
        <v>740</v>
      </c>
      <c r="E679" t="s">
        <v>2108</v>
      </c>
      <c r="F679">
        <v>1</v>
      </c>
      <c r="G679">
        <v>90</v>
      </c>
      <c r="H679" s="1" t="s">
        <v>741</v>
      </c>
    </row>
    <row r="680" spans="1:8" ht="38.25" x14ac:dyDescent="0.2">
      <c r="A680" t="s">
        <v>2184</v>
      </c>
      <c r="B680" t="s">
        <v>742</v>
      </c>
      <c r="C680">
        <v>1</v>
      </c>
      <c r="D680" s="1" t="s">
        <v>743</v>
      </c>
      <c r="E680" t="s">
        <v>2108</v>
      </c>
      <c r="F680">
        <v>1</v>
      </c>
      <c r="G680">
        <v>150</v>
      </c>
      <c r="H680" s="1" t="s">
        <v>744</v>
      </c>
    </row>
    <row r="681" spans="1:8" ht="38.25" x14ac:dyDescent="0.2">
      <c r="A681" t="s">
        <v>2184</v>
      </c>
      <c r="B681" t="s">
        <v>745</v>
      </c>
      <c r="C681">
        <v>1</v>
      </c>
      <c r="D681" s="1" t="s">
        <v>746</v>
      </c>
      <c r="E681" t="s">
        <v>2108</v>
      </c>
      <c r="F681">
        <v>1</v>
      </c>
      <c r="G681">
        <v>220</v>
      </c>
      <c r="H681" s="1" t="s">
        <v>747</v>
      </c>
    </row>
    <row r="682" spans="1:8" ht="38.25" x14ac:dyDescent="0.2">
      <c r="A682" t="s">
        <v>2184</v>
      </c>
      <c r="B682" t="s">
        <v>748</v>
      </c>
      <c r="C682">
        <v>1</v>
      </c>
      <c r="D682" s="1" t="s">
        <v>749</v>
      </c>
      <c r="E682" t="s">
        <v>2108</v>
      </c>
      <c r="F682">
        <v>1</v>
      </c>
      <c r="G682">
        <v>280</v>
      </c>
      <c r="H682" s="1" t="s">
        <v>750</v>
      </c>
    </row>
    <row r="683" spans="1:8" ht="38.25" x14ac:dyDescent="0.2">
      <c r="A683" t="s">
        <v>2184</v>
      </c>
      <c r="B683" t="s">
        <v>751</v>
      </c>
      <c r="C683">
        <v>1</v>
      </c>
      <c r="D683" s="1" t="s">
        <v>752</v>
      </c>
      <c r="E683" t="s">
        <v>2108</v>
      </c>
      <c r="F683">
        <v>1</v>
      </c>
      <c r="G683">
        <v>350</v>
      </c>
      <c r="H683" s="1" t="s">
        <v>753</v>
      </c>
    </row>
    <row r="684" spans="1:8" ht="38.25" x14ac:dyDescent="0.2">
      <c r="A684" t="s">
        <v>2184</v>
      </c>
      <c r="B684" t="s">
        <v>754</v>
      </c>
      <c r="C684">
        <v>1</v>
      </c>
      <c r="D684" s="1" t="s">
        <v>755</v>
      </c>
      <c r="E684" t="s">
        <v>2108</v>
      </c>
      <c r="F684">
        <v>1</v>
      </c>
      <c r="G684">
        <v>330</v>
      </c>
      <c r="H684" s="1" t="s">
        <v>756</v>
      </c>
    </row>
    <row r="685" spans="1:8" ht="38.25" x14ac:dyDescent="0.2">
      <c r="A685" t="s">
        <v>2184</v>
      </c>
      <c r="B685" t="s">
        <v>757</v>
      </c>
      <c r="C685">
        <v>1</v>
      </c>
      <c r="D685" s="1" t="s">
        <v>758</v>
      </c>
      <c r="E685" t="s">
        <v>2108</v>
      </c>
      <c r="F685">
        <v>1</v>
      </c>
      <c r="G685">
        <v>420</v>
      </c>
      <c r="H685" s="1" t="s">
        <v>759</v>
      </c>
    </row>
    <row r="686" spans="1:8" ht="38.25" x14ac:dyDescent="0.2">
      <c r="A686" t="s">
        <v>2184</v>
      </c>
      <c r="B686" t="s">
        <v>760</v>
      </c>
      <c r="C686">
        <v>1</v>
      </c>
      <c r="D686" s="1" t="s">
        <v>1042</v>
      </c>
      <c r="E686" t="s">
        <v>2108</v>
      </c>
      <c r="F686">
        <v>1</v>
      </c>
      <c r="G686">
        <v>400</v>
      </c>
      <c r="H686" s="1" t="s">
        <v>1043</v>
      </c>
    </row>
    <row r="687" spans="1:8" ht="38.25" x14ac:dyDescent="0.2">
      <c r="A687" t="s">
        <v>2184</v>
      </c>
      <c r="B687" t="s">
        <v>1044</v>
      </c>
      <c r="C687">
        <v>1</v>
      </c>
      <c r="D687" s="1" t="s">
        <v>1045</v>
      </c>
      <c r="E687" t="s">
        <v>2108</v>
      </c>
      <c r="F687">
        <v>1</v>
      </c>
      <c r="G687">
        <v>600</v>
      </c>
      <c r="H687" s="1" t="s">
        <v>602</v>
      </c>
    </row>
    <row r="688" spans="1:8" ht="38.25" x14ac:dyDescent="0.2">
      <c r="A688" t="s">
        <v>2184</v>
      </c>
      <c r="B688" t="s">
        <v>603</v>
      </c>
      <c r="C688">
        <v>1</v>
      </c>
      <c r="D688" s="1" t="s">
        <v>604</v>
      </c>
      <c r="E688" t="s">
        <v>2108</v>
      </c>
      <c r="F688">
        <v>1</v>
      </c>
      <c r="G688">
        <v>500</v>
      </c>
      <c r="H688" s="1" t="s">
        <v>605</v>
      </c>
    </row>
    <row r="689" spans="1:8" ht="38.25" x14ac:dyDescent="0.2">
      <c r="A689" t="s">
        <v>2184</v>
      </c>
      <c r="B689" t="s">
        <v>606</v>
      </c>
      <c r="C689">
        <v>1</v>
      </c>
      <c r="D689" s="1" t="s">
        <v>607</v>
      </c>
      <c r="E689" t="s">
        <v>2108</v>
      </c>
      <c r="F689">
        <v>1</v>
      </c>
      <c r="G689">
        <v>700</v>
      </c>
      <c r="H689" s="1" t="s">
        <v>608</v>
      </c>
    </row>
    <row r="690" spans="1:8" ht="38.25" x14ac:dyDescent="0.2">
      <c r="A690" t="s">
        <v>2184</v>
      </c>
      <c r="B690" t="s">
        <v>609</v>
      </c>
      <c r="C690">
        <v>1</v>
      </c>
      <c r="D690" s="1" t="s">
        <v>610</v>
      </c>
      <c r="E690" t="s">
        <v>2108</v>
      </c>
      <c r="F690">
        <v>1</v>
      </c>
      <c r="G690">
        <v>600</v>
      </c>
      <c r="H690" s="1" t="s">
        <v>611</v>
      </c>
    </row>
    <row r="691" spans="1:8" ht="38.25" x14ac:dyDescent="0.2">
      <c r="A691" t="s">
        <v>2184</v>
      </c>
      <c r="B691" t="s">
        <v>612</v>
      </c>
      <c r="C691">
        <v>1</v>
      </c>
      <c r="D691" s="1" t="s">
        <v>613</v>
      </c>
      <c r="E691" t="s">
        <v>2108</v>
      </c>
      <c r="F691">
        <v>1</v>
      </c>
      <c r="G691">
        <v>800</v>
      </c>
      <c r="H691" s="1" t="s">
        <v>614</v>
      </c>
    </row>
    <row r="692" spans="1:8" ht="38.25" x14ac:dyDescent="0.2">
      <c r="A692" t="s">
        <v>2184</v>
      </c>
      <c r="B692" t="s">
        <v>615</v>
      </c>
      <c r="C692">
        <v>1</v>
      </c>
      <c r="D692" s="1" t="s">
        <v>616</v>
      </c>
      <c r="E692" t="s">
        <v>2108</v>
      </c>
      <c r="F692">
        <v>1</v>
      </c>
      <c r="G692">
        <v>200</v>
      </c>
      <c r="H692" s="1" t="s">
        <v>617</v>
      </c>
    </row>
    <row r="693" spans="1:8" ht="38.25" x14ac:dyDescent="0.2">
      <c r="A693" t="s">
        <v>2184</v>
      </c>
      <c r="B693" t="s">
        <v>618</v>
      </c>
      <c r="C693">
        <v>1</v>
      </c>
      <c r="D693" s="1" t="s">
        <v>619</v>
      </c>
      <c r="E693" t="s">
        <v>2108</v>
      </c>
      <c r="F693">
        <v>1</v>
      </c>
      <c r="G693">
        <v>300</v>
      </c>
      <c r="H693" s="1" t="s">
        <v>620</v>
      </c>
    </row>
    <row r="694" spans="1:8" ht="38.25" x14ac:dyDescent="0.2">
      <c r="A694" t="s">
        <v>2184</v>
      </c>
      <c r="B694" t="s">
        <v>621</v>
      </c>
      <c r="C694">
        <v>1</v>
      </c>
      <c r="D694" s="1" t="s">
        <v>622</v>
      </c>
      <c r="E694" t="s">
        <v>2108</v>
      </c>
      <c r="F694">
        <v>1</v>
      </c>
      <c r="G694">
        <v>300</v>
      </c>
      <c r="H694" s="1" t="s">
        <v>623</v>
      </c>
    </row>
    <row r="695" spans="1:8" ht="38.25" x14ac:dyDescent="0.2">
      <c r="A695" t="s">
        <v>2184</v>
      </c>
      <c r="B695" t="s">
        <v>624</v>
      </c>
      <c r="C695">
        <v>1</v>
      </c>
      <c r="D695" s="1" t="s">
        <v>625</v>
      </c>
      <c r="E695" t="s">
        <v>2108</v>
      </c>
      <c r="F695">
        <v>1</v>
      </c>
      <c r="G695">
        <v>500</v>
      </c>
      <c r="H695" s="1" t="s">
        <v>626</v>
      </c>
    </row>
    <row r="696" spans="1:8" ht="38.25" x14ac:dyDescent="0.2">
      <c r="A696" t="s">
        <v>2184</v>
      </c>
      <c r="B696" t="s">
        <v>627</v>
      </c>
      <c r="C696">
        <v>1</v>
      </c>
      <c r="D696" s="1" t="s">
        <v>628</v>
      </c>
      <c r="E696" t="s">
        <v>2108</v>
      </c>
      <c r="F696">
        <v>1</v>
      </c>
      <c r="G696">
        <v>250</v>
      </c>
      <c r="H696" s="1" t="s">
        <v>341</v>
      </c>
    </row>
    <row r="697" spans="1:8" ht="38.25" x14ac:dyDescent="0.2">
      <c r="A697" t="s">
        <v>2184</v>
      </c>
      <c r="B697" t="s">
        <v>342</v>
      </c>
      <c r="C697">
        <v>1</v>
      </c>
      <c r="D697" s="1" t="s">
        <v>343</v>
      </c>
      <c r="E697" t="s">
        <v>2108</v>
      </c>
      <c r="F697">
        <v>1</v>
      </c>
      <c r="G697">
        <v>450</v>
      </c>
      <c r="H697" s="1" t="s">
        <v>344</v>
      </c>
    </row>
    <row r="698" spans="1:8" ht="38.25" x14ac:dyDescent="0.2">
      <c r="A698" t="s">
        <v>2184</v>
      </c>
      <c r="B698" t="s">
        <v>345</v>
      </c>
      <c r="C698">
        <v>1</v>
      </c>
      <c r="D698" s="1" t="s">
        <v>346</v>
      </c>
      <c r="E698" t="s">
        <v>2108</v>
      </c>
      <c r="F698">
        <v>1</v>
      </c>
      <c r="G698">
        <v>350</v>
      </c>
      <c r="H698" s="1" t="s">
        <v>347</v>
      </c>
    </row>
    <row r="699" spans="1:8" ht="38.25" x14ac:dyDescent="0.2">
      <c r="A699" t="s">
        <v>2184</v>
      </c>
      <c r="B699" t="s">
        <v>348</v>
      </c>
      <c r="C699">
        <v>1</v>
      </c>
      <c r="D699" s="1" t="s">
        <v>349</v>
      </c>
      <c r="E699" t="s">
        <v>2108</v>
      </c>
      <c r="F699">
        <v>1</v>
      </c>
      <c r="G699">
        <v>550</v>
      </c>
      <c r="H699" s="1" t="s">
        <v>350</v>
      </c>
    </row>
    <row r="700" spans="1:8" ht="38.25" x14ac:dyDescent="0.2">
      <c r="A700" t="s">
        <v>2184</v>
      </c>
      <c r="B700" t="s">
        <v>351</v>
      </c>
      <c r="C700">
        <v>1</v>
      </c>
      <c r="D700" s="1" t="s">
        <v>352</v>
      </c>
      <c r="E700" t="s">
        <v>2108</v>
      </c>
      <c r="F700">
        <v>1</v>
      </c>
      <c r="G700">
        <v>0</v>
      </c>
      <c r="H700" s="1" t="s">
        <v>353</v>
      </c>
    </row>
    <row r="701" spans="1:8" ht="38.25" x14ac:dyDescent="0.2">
      <c r="A701" t="s">
        <v>2184</v>
      </c>
      <c r="B701" t="s">
        <v>354</v>
      </c>
      <c r="C701">
        <v>1</v>
      </c>
      <c r="D701" s="1" t="s">
        <v>355</v>
      </c>
      <c r="E701" t="s">
        <v>2108</v>
      </c>
      <c r="F701">
        <v>1</v>
      </c>
      <c r="G701">
        <v>0</v>
      </c>
      <c r="H701" s="1" t="s">
        <v>390</v>
      </c>
    </row>
    <row r="702" spans="1:8" ht="38.25" x14ac:dyDescent="0.2">
      <c r="A702" t="s">
        <v>2184</v>
      </c>
      <c r="B702" t="s">
        <v>391</v>
      </c>
      <c r="C702">
        <v>1</v>
      </c>
      <c r="D702" s="1" t="s">
        <v>392</v>
      </c>
      <c r="E702" t="s">
        <v>2108</v>
      </c>
      <c r="F702">
        <v>1</v>
      </c>
      <c r="G702">
        <v>0</v>
      </c>
      <c r="H702" s="1" t="s">
        <v>393</v>
      </c>
    </row>
    <row r="703" spans="1:8" ht="38.25" x14ac:dyDescent="0.2">
      <c r="A703" t="s">
        <v>2184</v>
      </c>
      <c r="B703" t="s">
        <v>394</v>
      </c>
      <c r="C703">
        <v>1</v>
      </c>
      <c r="D703" s="1" t="s">
        <v>395</v>
      </c>
      <c r="E703" t="s">
        <v>2108</v>
      </c>
      <c r="F703">
        <v>1</v>
      </c>
      <c r="G703">
        <v>0</v>
      </c>
      <c r="H703" s="1" t="s">
        <v>396</v>
      </c>
    </row>
    <row r="704" spans="1:8" ht="51" x14ac:dyDescent="0.2">
      <c r="A704" t="s">
        <v>2184</v>
      </c>
      <c r="B704" t="s">
        <v>397</v>
      </c>
      <c r="C704">
        <v>1</v>
      </c>
      <c r="D704" s="1" t="s">
        <v>398</v>
      </c>
      <c r="E704" t="s">
        <v>2108</v>
      </c>
      <c r="F704">
        <v>1</v>
      </c>
      <c r="G704">
        <v>0</v>
      </c>
      <c r="H704" s="1" t="s">
        <v>641</v>
      </c>
    </row>
    <row r="705" spans="1:8" ht="51" x14ac:dyDescent="0.2">
      <c r="A705" t="s">
        <v>2184</v>
      </c>
      <c r="B705" t="s">
        <v>642</v>
      </c>
      <c r="C705">
        <v>1</v>
      </c>
      <c r="D705" s="1" t="s">
        <v>643</v>
      </c>
      <c r="E705" t="s">
        <v>2108</v>
      </c>
      <c r="F705">
        <v>1</v>
      </c>
      <c r="G705">
        <v>0</v>
      </c>
      <c r="H705" s="1" t="s">
        <v>644</v>
      </c>
    </row>
    <row r="706" spans="1:8" ht="153" x14ac:dyDescent="0.2">
      <c r="A706" t="s">
        <v>2184</v>
      </c>
      <c r="B706" t="s">
        <v>645</v>
      </c>
      <c r="C706">
        <v>2</v>
      </c>
      <c r="D706" s="1" t="s">
        <v>646</v>
      </c>
      <c r="E706" t="s">
        <v>2187</v>
      </c>
      <c r="F706">
        <v>0</v>
      </c>
      <c r="G706">
        <v>0</v>
      </c>
      <c r="H706" s="2" t="s">
        <v>647</v>
      </c>
    </row>
    <row r="707" spans="1:8" ht="38.25" x14ac:dyDescent="0.2">
      <c r="A707" t="s">
        <v>2184</v>
      </c>
      <c r="B707" t="s">
        <v>648</v>
      </c>
      <c r="C707">
        <v>1</v>
      </c>
      <c r="D707" s="1" t="s">
        <v>649</v>
      </c>
      <c r="E707" t="s">
        <v>2108</v>
      </c>
      <c r="F707">
        <v>1</v>
      </c>
      <c r="G707">
        <v>0</v>
      </c>
      <c r="H707" s="1" t="s">
        <v>650</v>
      </c>
    </row>
    <row r="708" spans="1:8" ht="38.25" x14ac:dyDescent="0.2">
      <c r="A708" t="s">
        <v>2184</v>
      </c>
      <c r="B708" t="s">
        <v>651</v>
      </c>
      <c r="C708">
        <v>1</v>
      </c>
      <c r="D708" s="1" t="s">
        <v>652</v>
      </c>
      <c r="E708" t="s">
        <v>2108</v>
      </c>
      <c r="F708">
        <v>1</v>
      </c>
      <c r="G708">
        <v>0</v>
      </c>
      <c r="H708" s="1" t="s">
        <v>653</v>
      </c>
    </row>
    <row r="709" spans="1:8" ht="38.25" x14ac:dyDescent="0.2">
      <c r="A709" t="s">
        <v>2184</v>
      </c>
      <c r="B709" t="s">
        <v>654</v>
      </c>
      <c r="C709">
        <v>1</v>
      </c>
      <c r="D709" s="1" t="s">
        <v>655</v>
      </c>
      <c r="E709" t="s">
        <v>2108</v>
      </c>
      <c r="F709">
        <v>1</v>
      </c>
      <c r="G709">
        <v>65</v>
      </c>
      <c r="H709" s="1" t="s">
        <v>222</v>
      </c>
    </row>
    <row r="710" spans="1:8" ht="38.25" x14ac:dyDescent="0.2">
      <c r="A710" t="s">
        <v>2184</v>
      </c>
      <c r="B710" t="s">
        <v>223</v>
      </c>
      <c r="C710">
        <v>1</v>
      </c>
      <c r="D710" s="1" t="s">
        <v>224</v>
      </c>
      <c r="E710" t="s">
        <v>2108</v>
      </c>
      <c r="F710">
        <v>1</v>
      </c>
      <c r="G710">
        <v>90</v>
      </c>
      <c r="H710" s="1" t="s">
        <v>225</v>
      </c>
    </row>
    <row r="711" spans="1:8" ht="38.25" x14ac:dyDescent="0.2">
      <c r="A711" t="s">
        <v>2184</v>
      </c>
      <c r="B711" t="s">
        <v>226</v>
      </c>
      <c r="C711">
        <v>1</v>
      </c>
      <c r="D711" s="1" t="s">
        <v>227</v>
      </c>
      <c r="E711" t="s">
        <v>2108</v>
      </c>
      <c r="F711">
        <v>1</v>
      </c>
      <c r="G711">
        <v>0</v>
      </c>
      <c r="H711" s="1" t="s">
        <v>228</v>
      </c>
    </row>
    <row r="712" spans="1:8" ht="38.25" x14ac:dyDescent="0.2">
      <c r="A712" t="s">
        <v>2184</v>
      </c>
      <c r="B712" t="s">
        <v>229</v>
      </c>
      <c r="C712">
        <v>1</v>
      </c>
      <c r="D712" s="1" t="s">
        <v>230</v>
      </c>
      <c r="E712" t="s">
        <v>2108</v>
      </c>
      <c r="F712">
        <v>1</v>
      </c>
      <c r="G712">
        <v>220</v>
      </c>
      <c r="H712" s="1" t="s">
        <v>656</v>
      </c>
    </row>
    <row r="713" spans="1:8" ht="38.25" x14ac:dyDescent="0.2">
      <c r="A713" t="s">
        <v>2184</v>
      </c>
      <c r="B713" t="s">
        <v>657</v>
      </c>
      <c r="C713">
        <v>1</v>
      </c>
      <c r="D713" s="1" t="s">
        <v>658</v>
      </c>
      <c r="E713" t="s">
        <v>2108</v>
      </c>
      <c r="F713">
        <v>1</v>
      </c>
      <c r="G713">
        <v>0</v>
      </c>
      <c r="H713" s="1" t="s">
        <v>659</v>
      </c>
    </row>
    <row r="714" spans="1:8" ht="204" x14ac:dyDescent="0.2">
      <c r="A714" t="s">
        <v>2184</v>
      </c>
      <c r="B714" t="s">
        <v>660</v>
      </c>
      <c r="C714">
        <v>2</v>
      </c>
      <c r="D714" s="1" t="s">
        <v>661</v>
      </c>
      <c r="E714" t="s">
        <v>2187</v>
      </c>
      <c r="F714">
        <v>0</v>
      </c>
      <c r="G714">
        <v>0</v>
      </c>
      <c r="H714" s="2" t="s">
        <v>662</v>
      </c>
    </row>
    <row r="715" spans="1:8" ht="38.25" x14ac:dyDescent="0.2">
      <c r="A715" t="s">
        <v>2184</v>
      </c>
      <c r="B715" t="s">
        <v>663</v>
      </c>
      <c r="C715">
        <v>1</v>
      </c>
      <c r="D715" s="1" t="s">
        <v>664</v>
      </c>
      <c r="E715" t="s">
        <v>2108</v>
      </c>
      <c r="F715">
        <v>1</v>
      </c>
      <c r="G715">
        <v>3.5</v>
      </c>
      <c r="H715" s="1" t="s">
        <v>665</v>
      </c>
    </row>
    <row r="716" spans="1:8" ht="38.25" x14ac:dyDescent="0.2">
      <c r="A716" t="s">
        <v>2184</v>
      </c>
      <c r="B716" t="s">
        <v>666</v>
      </c>
      <c r="C716">
        <v>1</v>
      </c>
      <c r="D716" s="1" t="s">
        <v>667</v>
      </c>
      <c r="E716" t="s">
        <v>2108</v>
      </c>
      <c r="F716">
        <v>1</v>
      </c>
      <c r="G716">
        <v>2.8</v>
      </c>
      <c r="H716" s="1" t="s">
        <v>668</v>
      </c>
    </row>
    <row r="717" spans="1:8" ht="38.25" x14ac:dyDescent="0.2">
      <c r="A717" t="s">
        <v>2184</v>
      </c>
      <c r="B717" t="s">
        <v>669</v>
      </c>
      <c r="C717">
        <v>1</v>
      </c>
      <c r="D717" s="1" t="s">
        <v>670</v>
      </c>
      <c r="E717" t="s">
        <v>2108</v>
      </c>
      <c r="F717">
        <v>1</v>
      </c>
      <c r="G717">
        <v>10</v>
      </c>
      <c r="H717" s="1" t="s">
        <v>671</v>
      </c>
    </row>
    <row r="718" spans="1:8" ht="38.25" x14ac:dyDescent="0.2">
      <c r="A718" t="s">
        <v>2184</v>
      </c>
      <c r="B718" t="s">
        <v>672</v>
      </c>
      <c r="C718">
        <v>1</v>
      </c>
      <c r="D718" s="1" t="s">
        <v>673</v>
      </c>
      <c r="E718" t="s">
        <v>2108</v>
      </c>
      <c r="F718">
        <v>1</v>
      </c>
      <c r="G718">
        <v>12.5</v>
      </c>
      <c r="H718" s="1" t="s">
        <v>674</v>
      </c>
    </row>
    <row r="719" spans="1:8" ht="38.25" x14ac:dyDescent="0.2">
      <c r="A719" t="s">
        <v>2184</v>
      </c>
      <c r="B719" t="s">
        <v>675</v>
      </c>
      <c r="C719">
        <v>1</v>
      </c>
      <c r="D719" s="1" t="s">
        <v>676</v>
      </c>
      <c r="E719" t="s">
        <v>2108</v>
      </c>
      <c r="F719">
        <v>1</v>
      </c>
      <c r="G719">
        <v>12</v>
      </c>
      <c r="H719" s="1" t="s">
        <v>240</v>
      </c>
    </row>
    <row r="720" spans="1:8" ht="38.25" x14ac:dyDescent="0.2">
      <c r="A720" t="s">
        <v>2184</v>
      </c>
      <c r="B720" t="s">
        <v>241</v>
      </c>
      <c r="C720">
        <v>1</v>
      </c>
      <c r="D720" s="1" t="s">
        <v>242</v>
      </c>
      <c r="E720" t="s">
        <v>2108</v>
      </c>
      <c r="F720">
        <v>1</v>
      </c>
      <c r="G720">
        <v>15</v>
      </c>
      <c r="H720" s="1" t="s">
        <v>243</v>
      </c>
    </row>
    <row r="721" spans="1:8" ht="38.25" x14ac:dyDescent="0.2">
      <c r="A721" t="s">
        <v>2184</v>
      </c>
      <c r="B721" t="s">
        <v>244</v>
      </c>
      <c r="C721">
        <v>1</v>
      </c>
      <c r="D721" s="1" t="s">
        <v>245</v>
      </c>
      <c r="E721" t="s">
        <v>2108</v>
      </c>
      <c r="F721">
        <v>1</v>
      </c>
      <c r="G721">
        <v>35</v>
      </c>
      <c r="H721" s="1" t="s">
        <v>246</v>
      </c>
    </row>
    <row r="722" spans="1:8" ht="38.25" x14ac:dyDescent="0.2">
      <c r="A722" t="s">
        <v>2184</v>
      </c>
      <c r="B722" t="s">
        <v>247</v>
      </c>
      <c r="C722">
        <v>1</v>
      </c>
      <c r="D722" s="1" t="s">
        <v>248</v>
      </c>
      <c r="E722" t="s">
        <v>2108</v>
      </c>
      <c r="F722">
        <v>1</v>
      </c>
      <c r="G722">
        <v>75</v>
      </c>
      <c r="H722" s="1" t="s">
        <v>249</v>
      </c>
    </row>
    <row r="723" spans="1:8" ht="38.25" x14ac:dyDescent="0.2">
      <c r="A723" t="s">
        <v>2184</v>
      </c>
      <c r="B723" t="s">
        <v>250</v>
      </c>
      <c r="C723">
        <v>1</v>
      </c>
      <c r="D723" s="1" t="s">
        <v>251</v>
      </c>
      <c r="E723" t="s">
        <v>2108</v>
      </c>
      <c r="F723">
        <v>1</v>
      </c>
      <c r="G723">
        <v>150</v>
      </c>
      <c r="H723" s="1" t="s">
        <v>252</v>
      </c>
    </row>
    <row r="724" spans="1:8" ht="38.25" x14ac:dyDescent="0.2">
      <c r="A724" t="s">
        <v>2184</v>
      </c>
      <c r="B724" t="s">
        <v>253</v>
      </c>
      <c r="C724">
        <v>1</v>
      </c>
      <c r="D724" s="1" t="s">
        <v>254</v>
      </c>
      <c r="E724" t="s">
        <v>2108</v>
      </c>
      <c r="F724">
        <v>1</v>
      </c>
      <c r="G724">
        <v>200</v>
      </c>
      <c r="H724" s="1" t="s">
        <v>255</v>
      </c>
    </row>
    <row r="725" spans="1:8" ht="38.25" x14ac:dyDescent="0.2">
      <c r="A725" t="s">
        <v>2184</v>
      </c>
      <c r="B725" t="s">
        <v>256</v>
      </c>
      <c r="C725">
        <v>1</v>
      </c>
      <c r="D725" s="1" t="s">
        <v>257</v>
      </c>
      <c r="E725" t="s">
        <v>2108</v>
      </c>
      <c r="F725">
        <v>1</v>
      </c>
      <c r="G725">
        <v>350</v>
      </c>
      <c r="H725" s="1" t="s">
        <v>258</v>
      </c>
    </row>
    <row r="726" spans="1:8" ht="38.25" x14ac:dyDescent="0.2">
      <c r="A726" t="s">
        <v>2184</v>
      </c>
      <c r="B726" t="s">
        <v>259</v>
      </c>
      <c r="C726">
        <v>1</v>
      </c>
      <c r="D726" s="1" t="s">
        <v>260</v>
      </c>
      <c r="E726" t="s">
        <v>2108</v>
      </c>
      <c r="F726">
        <v>1</v>
      </c>
      <c r="G726">
        <v>3</v>
      </c>
      <c r="H726" s="1" t="s">
        <v>261</v>
      </c>
    </row>
    <row r="727" spans="1:8" ht="38.25" x14ac:dyDescent="0.2">
      <c r="A727" t="s">
        <v>2184</v>
      </c>
      <c r="B727" t="s">
        <v>262</v>
      </c>
      <c r="C727">
        <v>1</v>
      </c>
      <c r="D727" s="1" t="s">
        <v>263</v>
      </c>
      <c r="E727" t="s">
        <v>2108</v>
      </c>
      <c r="F727">
        <v>1</v>
      </c>
      <c r="G727">
        <v>7.5</v>
      </c>
      <c r="H727" s="1" t="s">
        <v>264</v>
      </c>
    </row>
    <row r="728" spans="1:8" ht="38.25" x14ac:dyDescent="0.2">
      <c r="A728" t="s">
        <v>2184</v>
      </c>
      <c r="B728" t="s">
        <v>265</v>
      </c>
      <c r="C728">
        <v>1</v>
      </c>
      <c r="D728" s="1" t="s">
        <v>266</v>
      </c>
      <c r="E728" t="s">
        <v>2108</v>
      </c>
      <c r="F728">
        <v>1</v>
      </c>
      <c r="G728">
        <v>6</v>
      </c>
      <c r="H728" s="1" t="s">
        <v>267</v>
      </c>
    </row>
    <row r="729" spans="1:8" ht="38.25" x14ac:dyDescent="0.2">
      <c r="A729" t="s">
        <v>2184</v>
      </c>
      <c r="B729" t="s">
        <v>268</v>
      </c>
      <c r="C729">
        <v>1</v>
      </c>
      <c r="D729" s="1" t="s">
        <v>1098</v>
      </c>
      <c r="E729" t="s">
        <v>2108</v>
      </c>
      <c r="F729">
        <v>1</v>
      </c>
      <c r="G729">
        <v>15</v>
      </c>
      <c r="H729" s="1" t="s">
        <v>1099</v>
      </c>
    </row>
    <row r="730" spans="1:8" ht="51" x14ac:dyDescent="0.2">
      <c r="A730" t="s">
        <v>2184</v>
      </c>
      <c r="B730" t="s">
        <v>1100</v>
      </c>
      <c r="C730">
        <v>1</v>
      </c>
      <c r="D730" s="1" t="s">
        <v>1101</v>
      </c>
      <c r="E730" t="s">
        <v>2108</v>
      </c>
      <c r="F730">
        <v>1</v>
      </c>
      <c r="G730">
        <v>10</v>
      </c>
      <c r="H730" s="1" t="s">
        <v>1102</v>
      </c>
    </row>
    <row r="731" spans="1:8" ht="51" x14ac:dyDescent="0.2">
      <c r="A731" t="s">
        <v>2184</v>
      </c>
      <c r="B731" t="s">
        <v>1103</v>
      </c>
      <c r="C731">
        <v>1</v>
      </c>
      <c r="D731" s="1" t="s">
        <v>1104</v>
      </c>
      <c r="E731" t="s">
        <v>2108</v>
      </c>
      <c r="F731">
        <v>1</v>
      </c>
      <c r="G731">
        <v>15</v>
      </c>
      <c r="H731" s="1" t="s">
        <v>1105</v>
      </c>
    </row>
    <row r="732" spans="1:8" ht="51" x14ac:dyDescent="0.2">
      <c r="A732" t="s">
        <v>2184</v>
      </c>
      <c r="B732" t="s">
        <v>1106</v>
      </c>
      <c r="C732">
        <v>1</v>
      </c>
      <c r="D732" s="1" t="s">
        <v>1107</v>
      </c>
      <c r="E732" t="s">
        <v>2108</v>
      </c>
      <c r="F732">
        <v>1</v>
      </c>
      <c r="G732">
        <v>12</v>
      </c>
      <c r="H732" s="1" t="s">
        <v>1108</v>
      </c>
    </row>
    <row r="733" spans="1:8" ht="51" x14ac:dyDescent="0.2">
      <c r="A733" t="s">
        <v>2184</v>
      </c>
      <c r="B733" t="s">
        <v>1109</v>
      </c>
      <c r="C733">
        <v>1</v>
      </c>
      <c r="D733" s="1" t="s">
        <v>1110</v>
      </c>
      <c r="E733" t="s">
        <v>2108</v>
      </c>
      <c r="F733">
        <v>1</v>
      </c>
      <c r="G733">
        <v>18</v>
      </c>
      <c r="H733" s="1" t="s">
        <v>1111</v>
      </c>
    </row>
    <row r="734" spans="1:8" ht="51" x14ac:dyDescent="0.2">
      <c r="A734" t="s">
        <v>2184</v>
      </c>
      <c r="B734" t="s">
        <v>1112</v>
      </c>
      <c r="C734">
        <v>1</v>
      </c>
      <c r="D734" s="1" t="s">
        <v>1113</v>
      </c>
      <c r="E734" t="s">
        <v>2108</v>
      </c>
      <c r="F734">
        <v>1</v>
      </c>
      <c r="G734">
        <v>15</v>
      </c>
      <c r="H734" s="1" t="s">
        <v>1114</v>
      </c>
    </row>
    <row r="735" spans="1:8" ht="51" x14ac:dyDescent="0.2">
      <c r="A735" t="s">
        <v>2184</v>
      </c>
      <c r="B735" t="s">
        <v>1115</v>
      </c>
      <c r="C735">
        <v>1</v>
      </c>
      <c r="D735" s="1" t="s">
        <v>1116</v>
      </c>
      <c r="E735" t="s">
        <v>2108</v>
      </c>
      <c r="F735">
        <v>1</v>
      </c>
      <c r="G735">
        <v>25</v>
      </c>
      <c r="H735" s="1" t="s">
        <v>1117</v>
      </c>
    </row>
    <row r="736" spans="1:8" ht="38.25" x14ac:dyDescent="0.2">
      <c r="A736" t="s">
        <v>2184</v>
      </c>
      <c r="B736" t="s">
        <v>1118</v>
      </c>
      <c r="C736">
        <v>1</v>
      </c>
      <c r="D736" s="1" t="s">
        <v>1119</v>
      </c>
      <c r="E736" t="s">
        <v>2108</v>
      </c>
      <c r="F736">
        <v>1</v>
      </c>
      <c r="G736">
        <v>10</v>
      </c>
      <c r="H736" s="1" t="s">
        <v>1120</v>
      </c>
    </row>
    <row r="737" spans="1:8" ht="38.25" x14ac:dyDescent="0.2">
      <c r="A737" t="s">
        <v>2184</v>
      </c>
      <c r="B737" t="s">
        <v>1121</v>
      </c>
      <c r="C737">
        <v>1</v>
      </c>
      <c r="D737" s="1" t="s">
        <v>1122</v>
      </c>
      <c r="E737" t="s">
        <v>2108</v>
      </c>
      <c r="F737">
        <v>1</v>
      </c>
      <c r="G737">
        <v>0</v>
      </c>
      <c r="H737" s="1" t="s">
        <v>1123</v>
      </c>
    </row>
    <row r="738" spans="1:8" ht="153" x14ac:dyDescent="0.2">
      <c r="A738" t="s">
        <v>2184</v>
      </c>
      <c r="B738" t="s">
        <v>1124</v>
      </c>
      <c r="C738">
        <v>2</v>
      </c>
      <c r="D738" s="1" t="s">
        <v>1125</v>
      </c>
      <c r="E738" t="s">
        <v>2187</v>
      </c>
      <c r="F738">
        <v>0</v>
      </c>
      <c r="G738">
        <v>0</v>
      </c>
      <c r="H738" s="2" t="s">
        <v>1126</v>
      </c>
    </row>
    <row r="739" spans="1:8" ht="38.25" x14ac:dyDescent="0.2">
      <c r="A739" t="s">
        <v>2184</v>
      </c>
      <c r="B739" t="s">
        <v>1127</v>
      </c>
      <c r="C739">
        <v>1</v>
      </c>
      <c r="D739" s="1" t="s">
        <v>1128</v>
      </c>
      <c r="E739" t="s">
        <v>2108</v>
      </c>
      <c r="F739">
        <v>1</v>
      </c>
      <c r="G739">
        <v>9</v>
      </c>
      <c r="H739" s="1" t="s">
        <v>1129</v>
      </c>
    </row>
    <row r="740" spans="1:8" ht="38.25" x14ac:dyDescent="0.2">
      <c r="A740" t="s">
        <v>2184</v>
      </c>
      <c r="B740" t="s">
        <v>1130</v>
      </c>
      <c r="C740">
        <v>1</v>
      </c>
      <c r="D740" s="1" t="s">
        <v>1131</v>
      </c>
      <c r="E740" t="s">
        <v>2108</v>
      </c>
      <c r="F740">
        <v>1</v>
      </c>
      <c r="G740">
        <v>12</v>
      </c>
      <c r="H740" s="1" t="s">
        <v>1132</v>
      </c>
    </row>
    <row r="741" spans="1:8" ht="38.25" x14ac:dyDescent="0.2">
      <c r="A741" t="s">
        <v>2184</v>
      </c>
      <c r="B741" t="s">
        <v>1133</v>
      </c>
      <c r="C741">
        <v>1</v>
      </c>
      <c r="D741" s="1" t="s">
        <v>1134</v>
      </c>
      <c r="E741" t="s">
        <v>2108</v>
      </c>
      <c r="F741">
        <v>1</v>
      </c>
      <c r="G741">
        <v>11</v>
      </c>
      <c r="H741" s="1" t="s">
        <v>1135</v>
      </c>
    </row>
    <row r="742" spans="1:8" ht="38.25" x14ac:dyDescent="0.2">
      <c r="A742" t="s">
        <v>2184</v>
      </c>
      <c r="B742" t="s">
        <v>1136</v>
      </c>
      <c r="C742">
        <v>1</v>
      </c>
      <c r="D742" s="1" t="s">
        <v>1137</v>
      </c>
      <c r="E742" t="s">
        <v>2108</v>
      </c>
      <c r="F742">
        <v>1</v>
      </c>
      <c r="G742">
        <v>15</v>
      </c>
      <c r="H742" s="1" t="s">
        <v>1138</v>
      </c>
    </row>
    <row r="743" spans="1:8" ht="38.25" x14ac:dyDescent="0.2">
      <c r="A743" t="s">
        <v>2184</v>
      </c>
      <c r="B743" t="s">
        <v>1139</v>
      </c>
      <c r="C743">
        <v>1</v>
      </c>
      <c r="D743" s="1" t="s">
        <v>1140</v>
      </c>
      <c r="E743" t="s">
        <v>2108</v>
      </c>
      <c r="F743">
        <v>1</v>
      </c>
      <c r="G743">
        <v>13</v>
      </c>
      <c r="H743" s="1" t="s">
        <v>1141</v>
      </c>
    </row>
    <row r="744" spans="1:8" ht="38.25" x14ac:dyDescent="0.2">
      <c r="A744" t="s">
        <v>2184</v>
      </c>
      <c r="B744" t="s">
        <v>1142</v>
      </c>
      <c r="C744">
        <v>1</v>
      </c>
      <c r="D744" s="1" t="s">
        <v>828</v>
      </c>
      <c r="E744" t="s">
        <v>2108</v>
      </c>
      <c r="F744">
        <v>1</v>
      </c>
      <c r="G744">
        <v>18</v>
      </c>
      <c r="H744" s="1" t="s">
        <v>427</v>
      </c>
    </row>
    <row r="745" spans="1:8" ht="153" x14ac:dyDescent="0.2">
      <c r="A745" t="s">
        <v>2184</v>
      </c>
      <c r="B745" t="s">
        <v>428</v>
      </c>
      <c r="C745">
        <v>2</v>
      </c>
      <c r="D745" s="1" t="s">
        <v>429</v>
      </c>
      <c r="E745" t="s">
        <v>2187</v>
      </c>
      <c r="F745">
        <v>0</v>
      </c>
      <c r="G745">
        <v>0</v>
      </c>
      <c r="H745" s="2" t="s">
        <v>430</v>
      </c>
    </row>
    <row r="746" spans="1:8" ht="38.25" x14ac:dyDescent="0.2">
      <c r="A746" t="s">
        <v>2184</v>
      </c>
      <c r="B746" t="s">
        <v>431</v>
      </c>
      <c r="C746">
        <v>1</v>
      </c>
      <c r="D746" s="1" t="s">
        <v>432</v>
      </c>
      <c r="E746" t="s">
        <v>2108</v>
      </c>
      <c r="F746">
        <v>1</v>
      </c>
      <c r="G746">
        <v>0</v>
      </c>
      <c r="H746" s="1" t="s">
        <v>433</v>
      </c>
    </row>
    <row r="747" spans="1:8" ht="38.25" x14ac:dyDescent="0.2">
      <c r="A747" t="s">
        <v>2184</v>
      </c>
      <c r="B747" t="s">
        <v>434</v>
      </c>
      <c r="C747">
        <v>1</v>
      </c>
      <c r="D747" s="1" t="s">
        <v>435</v>
      </c>
      <c r="E747" t="s">
        <v>2108</v>
      </c>
      <c r="F747">
        <v>1</v>
      </c>
      <c r="G747">
        <v>0</v>
      </c>
      <c r="H747" s="1" t="s">
        <v>436</v>
      </c>
    </row>
    <row r="748" spans="1:8" ht="51" x14ac:dyDescent="0.2">
      <c r="A748" t="s">
        <v>2184</v>
      </c>
      <c r="B748" t="s">
        <v>437</v>
      </c>
      <c r="C748">
        <v>1</v>
      </c>
      <c r="D748" s="1" t="s">
        <v>438</v>
      </c>
      <c r="E748" t="s">
        <v>2108</v>
      </c>
      <c r="F748">
        <v>1</v>
      </c>
      <c r="G748">
        <v>25</v>
      </c>
      <c r="H748" s="1" t="s">
        <v>439</v>
      </c>
    </row>
    <row r="749" spans="1:8" ht="51" x14ac:dyDescent="0.2">
      <c r="A749" t="s">
        <v>2184</v>
      </c>
      <c r="B749" t="s">
        <v>440</v>
      </c>
      <c r="C749">
        <v>1</v>
      </c>
      <c r="D749" s="1" t="s">
        <v>441</v>
      </c>
      <c r="E749" t="s">
        <v>2108</v>
      </c>
      <c r="F749">
        <v>1</v>
      </c>
      <c r="G749">
        <v>35</v>
      </c>
      <c r="H749" s="1" t="s">
        <v>491</v>
      </c>
    </row>
    <row r="750" spans="1:8" ht="51" x14ac:dyDescent="0.2">
      <c r="A750" t="s">
        <v>2184</v>
      </c>
      <c r="B750" t="s">
        <v>492</v>
      </c>
      <c r="C750">
        <v>1</v>
      </c>
      <c r="D750" s="1" t="s">
        <v>761</v>
      </c>
      <c r="E750" t="s">
        <v>2108</v>
      </c>
      <c r="F750">
        <v>1</v>
      </c>
      <c r="G750">
        <v>60</v>
      </c>
      <c r="H750" s="1" t="s">
        <v>762</v>
      </c>
    </row>
    <row r="751" spans="1:8" ht="51" x14ac:dyDescent="0.2">
      <c r="A751" t="s">
        <v>2184</v>
      </c>
      <c r="B751" t="s">
        <v>763</v>
      </c>
      <c r="C751">
        <v>1</v>
      </c>
      <c r="D751" s="1" t="s">
        <v>764</v>
      </c>
      <c r="E751" t="s">
        <v>2108</v>
      </c>
      <c r="F751">
        <v>1</v>
      </c>
      <c r="G751">
        <v>80</v>
      </c>
      <c r="H751" s="1" t="s">
        <v>765</v>
      </c>
    </row>
    <row r="752" spans="1:8" ht="51" x14ac:dyDescent="0.2">
      <c r="A752" t="s">
        <v>2184</v>
      </c>
      <c r="B752" t="s">
        <v>766</v>
      </c>
      <c r="C752">
        <v>1</v>
      </c>
      <c r="D752" s="1" t="s">
        <v>767</v>
      </c>
      <c r="E752" t="s">
        <v>2108</v>
      </c>
      <c r="F752">
        <v>1</v>
      </c>
      <c r="G752">
        <v>0</v>
      </c>
      <c r="H752" s="1" t="s">
        <v>768</v>
      </c>
    </row>
    <row r="753" spans="1:8" ht="38.25" x14ac:dyDescent="0.2">
      <c r="A753" t="s">
        <v>2184</v>
      </c>
      <c r="B753" t="s">
        <v>769</v>
      </c>
      <c r="C753">
        <v>1</v>
      </c>
      <c r="D753" s="1" t="s">
        <v>770</v>
      </c>
      <c r="E753" t="s">
        <v>2108</v>
      </c>
      <c r="F753">
        <v>1</v>
      </c>
      <c r="G753">
        <v>0</v>
      </c>
      <c r="H753" s="1" t="s">
        <v>771</v>
      </c>
    </row>
    <row r="754" spans="1:8" ht="38.25" x14ac:dyDescent="0.2">
      <c r="A754" t="s">
        <v>2184</v>
      </c>
      <c r="B754" t="s">
        <v>772</v>
      </c>
      <c r="C754">
        <v>1</v>
      </c>
      <c r="D754" s="1" t="s">
        <v>421</v>
      </c>
      <c r="E754" t="s">
        <v>2108</v>
      </c>
      <c r="F754">
        <v>1</v>
      </c>
      <c r="G754">
        <v>0</v>
      </c>
      <c r="H754" s="1" t="s">
        <v>422</v>
      </c>
    </row>
    <row r="755" spans="1:8" ht="38.25" x14ac:dyDescent="0.2">
      <c r="A755" t="s">
        <v>2184</v>
      </c>
      <c r="B755" t="s">
        <v>423</v>
      </c>
      <c r="C755">
        <v>1</v>
      </c>
      <c r="D755" s="1" t="s">
        <v>424</v>
      </c>
      <c r="E755" t="s">
        <v>2108</v>
      </c>
      <c r="F755">
        <v>1</v>
      </c>
      <c r="G755">
        <v>0</v>
      </c>
      <c r="H755" s="1" t="s">
        <v>425</v>
      </c>
    </row>
    <row r="756" spans="1:8" ht="51" x14ac:dyDescent="0.2">
      <c r="A756" t="s">
        <v>2184</v>
      </c>
      <c r="B756" t="s">
        <v>426</v>
      </c>
      <c r="C756">
        <v>1</v>
      </c>
      <c r="D756" s="1" t="s">
        <v>442</v>
      </c>
      <c r="E756" t="s">
        <v>2108</v>
      </c>
      <c r="F756">
        <v>1</v>
      </c>
      <c r="G756">
        <v>0</v>
      </c>
      <c r="H756" s="1" t="s">
        <v>443</v>
      </c>
    </row>
    <row r="757" spans="1:8" ht="51" x14ac:dyDescent="0.2">
      <c r="A757" t="s">
        <v>2184</v>
      </c>
      <c r="B757" t="s">
        <v>444</v>
      </c>
      <c r="C757">
        <v>1</v>
      </c>
      <c r="D757" s="1" t="s">
        <v>451</v>
      </c>
      <c r="E757" t="s">
        <v>2108</v>
      </c>
      <c r="F757">
        <v>1</v>
      </c>
      <c r="G757">
        <v>0</v>
      </c>
      <c r="H757" s="1" t="s">
        <v>452</v>
      </c>
    </row>
    <row r="758" spans="1:8" ht="51" x14ac:dyDescent="0.2">
      <c r="A758" t="s">
        <v>2184</v>
      </c>
      <c r="B758" t="s">
        <v>453</v>
      </c>
      <c r="C758">
        <v>1</v>
      </c>
      <c r="D758" s="1" t="s">
        <v>454</v>
      </c>
      <c r="E758" t="s">
        <v>2108</v>
      </c>
      <c r="F758">
        <v>1</v>
      </c>
      <c r="G758">
        <v>0</v>
      </c>
      <c r="H758" s="1" t="s">
        <v>455</v>
      </c>
    </row>
    <row r="759" spans="1:8" ht="51" x14ac:dyDescent="0.2">
      <c r="A759" t="s">
        <v>2184</v>
      </c>
      <c r="B759" t="s">
        <v>456</v>
      </c>
      <c r="C759">
        <v>1</v>
      </c>
      <c r="D759" s="1" t="s">
        <v>457</v>
      </c>
      <c r="E759" t="s">
        <v>2108</v>
      </c>
      <c r="F759">
        <v>1</v>
      </c>
      <c r="G759">
        <v>130</v>
      </c>
      <c r="H759" s="1" t="s">
        <v>458</v>
      </c>
    </row>
    <row r="760" spans="1:8" ht="51" x14ac:dyDescent="0.2">
      <c r="A760" t="s">
        <v>2184</v>
      </c>
      <c r="B760" t="s">
        <v>459</v>
      </c>
      <c r="C760">
        <v>1</v>
      </c>
      <c r="D760" s="1" t="s">
        <v>460</v>
      </c>
      <c r="E760" t="s">
        <v>2108</v>
      </c>
      <c r="F760">
        <v>1</v>
      </c>
      <c r="G760">
        <v>165</v>
      </c>
      <c r="H760" s="1" t="s">
        <v>461</v>
      </c>
    </row>
    <row r="761" spans="1:8" ht="63.75" x14ac:dyDescent="0.2">
      <c r="A761" t="s">
        <v>2184</v>
      </c>
      <c r="B761" t="s">
        <v>462</v>
      </c>
      <c r="C761">
        <v>1</v>
      </c>
      <c r="D761" s="1" t="s">
        <v>463</v>
      </c>
      <c r="E761" t="s">
        <v>2108</v>
      </c>
      <c r="F761">
        <v>1</v>
      </c>
      <c r="G761">
        <v>0</v>
      </c>
      <c r="H761" s="1" t="s">
        <v>464</v>
      </c>
    </row>
    <row r="762" spans="1:8" ht="63.75" x14ac:dyDescent="0.2">
      <c r="A762" t="s">
        <v>2184</v>
      </c>
      <c r="B762" t="s">
        <v>465</v>
      </c>
      <c r="C762">
        <v>1</v>
      </c>
      <c r="D762" s="1" t="s">
        <v>466</v>
      </c>
      <c r="E762" t="s">
        <v>2108</v>
      </c>
      <c r="F762">
        <v>1</v>
      </c>
      <c r="G762">
        <v>0</v>
      </c>
      <c r="H762" s="1" t="s">
        <v>467</v>
      </c>
    </row>
    <row r="763" spans="1:8" ht="63.75" x14ac:dyDescent="0.2">
      <c r="A763" t="s">
        <v>2184</v>
      </c>
      <c r="B763" t="s">
        <v>468</v>
      </c>
      <c r="C763">
        <v>1</v>
      </c>
      <c r="D763" s="1" t="s">
        <v>469</v>
      </c>
      <c r="E763" t="s">
        <v>2108</v>
      </c>
      <c r="F763">
        <v>1</v>
      </c>
      <c r="G763">
        <v>0</v>
      </c>
      <c r="H763" s="1" t="s">
        <v>0</v>
      </c>
    </row>
    <row r="764" spans="1:8" ht="63.75" x14ac:dyDescent="0.2">
      <c r="A764" t="s">
        <v>2184</v>
      </c>
      <c r="B764" t="s">
        <v>1</v>
      </c>
      <c r="C764">
        <v>1</v>
      </c>
      <c r="D764" s="1" t="s">
        <v>2</v>
      </c>
      <c r="E764" t="s">
        <v>2108</v>
      </c>
      <c r="F764">
        <v>1</v>
      </c>
      <c r="G764">
        <v>0</v>
      </c>
      <c r="H764" s="1" t="s">
        <v>3</v>
      </c>
    </row>
    <row r="765" spans="1:8" ht="63.75" x14ac:dyDescent="0.2">
      <c r="A765" t="s">
        <v>2184</v>
      </c>
      <c r="B765" t="s">
        <v>4</v>
      </c>
      <c r="C765">
        <v>1</v>
      </c>
      <c r="D765" s="1" t="s">
        <v>5</v>
      </c>
      <c r="E765" t="s">
        <v>2108</v>
      </c>
      <c r="F765">
        <v>1</v>
      </c>
      <c r="G765">
        <v>0</v>
      </c>
      <c r="H765" s="1" t="s">
        <v>6</v>
      </c>
    </row>
    <row r="766" spans="1:8" ht="63.75" x14ac:dyDescent="0.2">
      <c r="A766" t="s">
        <v>2184</v>
      </c>
      <c r="B766" t="s">
        <v>7</v>
      </c>
      <c r="C766">
        <v>1</v>
      </c>
      <c r="D766" s="1" t="s">
        <v>8</v>
      </c>
      <c r="E766" t="s">
        <v>2108</v>
      </c>
      <c r="F766">
        <v>1</v>
      </c>
      <c r="G766">
        <v>0</v>
      </c>
      <c r="H766" s="1" t="s">
        <v>9</v>
      </c>
    </row>
    <row r="767" spans="1:8" ht="153" x14ac:dyDescent="0.2">
      <c r="A767" t="s">
        <v>2184</v>
      </c>
      <c r="B767" t="s">
        <v>10</v>
      </c>
      <c r="C767">
        <v>2</v>
      </c>
      <c r="D767" s="1" t="s">
        <v>11</v>
      </c>
      <c r="E767" t="s">
        <v>2187</v>
      </c>
      <c r="F767">
        <v>0</v>
      </c>
      <c r="G767">
        <v>0</v>
      </c>
      <c r="H767" s="2" t="s">
        <v>367</v>
      </c>
    </row>
    <row r="768" spans="1:8" ht="38.25" x14ac:dyDescent="0.2">
      <c r="A768" t="s">
        <v>2184</v>
      </c>
      <c r="B768" t="s">
        <v>368</v>
      </c>
      <c r="C768">
        <v>1</v>
      </c>
      <c r="D768" s="1" t="s">
        <v>369</v>
      </c>
      <c r="E768" t="s">
        <v>2108</v>
      </c>
      <c r="F768">
        <v>1</v>
      </c>
      <c r="G768">
        <v>3.5</v>
      </c>
      <c r="H768" s="1" t="s">
        <v>370</v>
      </c>
    </row>
    <row r="769" spans="1:8" ht="51" x14ac:dyDescent="0.2">
      <c r="A769" t="s">
        <v>2184</v>
      </c>
      <c r="B769" t="s">
        <v>371</v>
      </c>
      <c r="C769">
        <v>1</v>
      </c>
      <c r="D769" s="1" t="s">
        <v>372</v>
      </c>
      <c r="E769" t="s">
        <v>2108</v>
      </c>
      <c r="F769">
        <v>1</v>
      </c>
      <c r="G769">
        <v>5</v>
      </c>
      <c r="H769" s="1" t="s">
        <v>373</v>
      </c>
    </row>
    <row r="770" spans="1:8" ht="51" x14ac:dyDescent="0.2">
      <c r="A770" t="s">
        <v>2184</v>
      </c>
      <c r="B770" t="s">
        <v>374</v>
      </c>
      <c r="C770">
        <v>1</v>
      </c>
      <c r="D770" s="1" t="s">
        <v>375</v>
      </c>
      <c r="E770" t="s">
        <v>2108</v>
      </c>
      <c r="F770">
        <v>1</v>
      </c>
      <c r="G770">
        <v>9</v>
      </c>
      <c r="H770" s="1" t="s">
        <v>376</v>
      </c>
    </row>
    <row r="771" spans="1:8" ht="51" x14ac:dyDescent="0.2">
      <c r="A771" t="s">
        <v>2184</v>
      </c>
      <c r="B771" t="s">
        <v>377</v>
      </c>
      <c r="C771">
        <v>1</v>
      </c>
      <c r="D771" s="1" t="s">
        <v>378</v>
      </c>
      <c r="E771" t="s">
        <v>2108</v>
      </c>
      <c r="F771">
        <v>1</v>
      </c>
      <c r="G771">
        <v>14</v>
      </c>
      <c r="H771" s="1" t="s">
        <v>379</v>
      </c>
    </row>
    <row r="772" spans="1:8" ht="153" x14ac:dyDescent="0.2">
      <c r="A772" t="s">
        <v>2184</v>
      </c>
      <c r="B772" t="s">
        <v>380</v>
      </c>
      <c r="C772">
        <v>2</v>
      </c>
      <c r="D772" s="1" t="s">
        <v>381</v>
      </c>
      <c r="E772" t="s">
        <v>2187</v>
      </c>
      <c r="F772">
        <v>0</v>
      </c>
      <c r="G772">
        <v>0</v>
      </c>
      <c r="H772" s="2" t="s">
        <v>57</v>
      </c>
    </row>
    <row r="773" spans="1:8" ht="38.25" x14ac:dyDescent="0.2">
      <c r="A773" t="s">
        <v>2184</v>
      </c>
      <c r="B773" t="s">
        <v>58</v>
      </c>
      <c r="C773">
        <v>1</v>
      </c>
      <c r="D773" s="1" t="s">
        <v>59</v>
      </c>
      <c r="E773" t="s">
        <v>2108</v>
      </c>
      <c r="F773">
        <v>1</v>
      </c>
      <c r="G773">
        <v>0</v>
      </c>
      <c r="H773" s="1" t="s">
        <v>60</v>
      </c>
    </row>
    <row r="774" spans="1:8" ht="38.25" x14ac:dyDescent="0.2">
      <c r="A774" t="s">
        <v>2184</v>
      </c>
      <c r="B774" t="s">
        <v>61</v>
      </c>
      <c r="C774">
        <v>1</v>
      </c>
      <c r="D774" s="1" t="s">
        <v>62</v>
      </c>
      <c r="E774" t="s">
        <v>2108</v>
      </c>
      <c r="F774">
        <v>1</v>
      </c>
      <c r="G774">
        <v>0</v>
      </c>
      <c r="H774" s="1" t="s">
        <v>63</v>
      </c>
    </row>
    <row r="775" spans="1:8" ht="38.25" x14ac:dyDescent="0.2">
      <c r="A775" t="s">
        <v>2184</v>
      </c>
      <c r="B775" t="s">
        <v>64</v>
      </c>
      <c r="C775">
        <v>1</v>
      </c>
      <c r="D775" s="1" t="s">
        <v>65</v>
      </c>
      <c r="E775" t="s">
        <v>2108</v>
      </c>
      <c r="F775">
        <v>1</v>
      </c>
      <c r="G775">
        <v>0</v>
      </c>
      <c r="H775" s="1" t="s">
        <v>66</v>
      </c>
    </row>
    <row r="776" spans="1:8" ht="38.25" x14ac:dyDescent="0.2">
      <c r="A776" t="s">
        <v>2184</v>
      </c>
      <c r="B776" t="s">
        <v>67</v>
      </c>
      <c r="C776">
        <v>1</v>
      </c>
      <c r="D776" s="1" t="s">
        <v>68</v>
      </c>
      <c r="E776" t="s">
        <v>2108</v>
      </c>
      <c r="F776">
        <v>1</v>
      </c>
      <c r="G776">
        <v>15</v>
      </c>
      <c r="H776" s="1" t="s">
        <v>69</v>
      </c>
    </row>
    <row r="777" spans="1:8" ht="38.25" x14ac:dyDescent="0.2">
      <c r="A777" t="s">
        <v>2184</v>
      </c>
      <c r="B777" t="s">
        <v>70</v>
      </c>
      <c r="C777">
        <v>1</v>
      </c>
      <c r="D777" s="1" t="s">
        <v>71</v>
      </c>
      <c r="E777" t="s">
        <v>2108</v>
      </c>
      <c r="F777">
        <v>1</v>
      </c>
      <c r="G777">
        <v>0</v>
      </c>
      <c r="H777" s="1" t="s">
        <v>72</v>
      </c>
    </row>
    <row r="778" spans="1:8" ht="38.25" x14ac:dyDescent="0.2">
      <c r="A778" t="s">
        <v>2184</v>
      </c>
      <c r="B778" t="s">
        <v>73</v>
      </c>
      <c r="C778">
        <v>1</v>
      </c>
      <c r="D778" s="1" t="s">
        <v>487</v>
      </c>
      <c r="E778" t="s">
        <v>2108</v>
      </c>
      <c r="F778">
        <v>1</v>
      </c>
      <c r="G778">
        <v>0</v>
      </c>
      <c r="H778" s="1" t="s">
        <v>488</v>
      </c>
    </row>
    <row r="779" spans="1:8" ht="38.25" x14ac:dyDescent="0.2">
      <c r="A779" t="s">
        <v>2184</v>
      </c>
      <c r="B779" t="s">
        <v>489</v>
      </c>
      <c r="C779">
        <v>1</v>
      </c>
      <c r="D779" s="1" t="s">
        <v>490</v>
      </c>
      <c r="E779" t="s">
        <v>2108</v>
      </c>
      <c r="F779">
        <v>1</v>
      </c>
      <c r="G779">
        <v>38</v>
      </c>
      <c r="H779" s="1" t="s">
        <v>881</v>
      </c>
    </row>
    <row r="780" spans="1:8" ht="38.25" x14ac:dyDescent="0.2">
      <c r="A780" t="s">
        <v>2184</v>
      </c>
      <c r="B780" t="s">
        <v>882</v>
      </c>
      <c r="C780">
        <v>1</v>
      </c>
      <c r="D780" s="1" t="s">
        <v>883</v>
      </c>
      <c r="E780" t="s">
        <v>2108</v>
      </c>
      <c r="F780">
        <v>1</v>
      </c>
      <c r="G780">
        <v>45</v>
      </c>
      <c r="H780" s="1" t="s">
        <v>884</v>
      </c>
    </row>
    <row r="781" spans="1:8" ht="38.25" x14ac:dyDescent="0.2">
      <c r="A781" t="s">
        <v>2184</v>
      </c>
      <c r="B781" t="s">
        <v>885</v>
      </c>
      <c r="C781">
        <v>1</v>
      </c>
      <c r="D781" s="1" t="s">
        <v>886</v>
      </c>
      <c r="E781" t="s">
        <v>2108</v>
      </c>
      <c r="F781">
        <v>1</v>
      </c>
      <c r="G781">
        <v>0</v>
      </c>
      <c r="H781" s="1" t="s">
        <v>887</v>
      </c>
    </row>
    <row r="782" spans="1:8" ht="38.25" x14ac:dyDescent="0.2">
      <c r="A782" t="s">
        <v>2184</v>
      </c>
      <c r="B782" t="s">
        <v>888</v>
      </c>
      <c r="C782">
        <v>1</v>
      </c>
      <c r="D782" s="1" t="s">
        <v>889</v>
      </c>
      <c r="E782" t="s">
        <v>2108</v>
      </c>
      <c r="F782">
        <v>1</v>
      </c>
      <c r="G782">
        <v>0</v>
      </c>
      <c r="H782" s="1" t="s">
        <v>890</v>
      </c>
    </row>
    <row r="783" spans="1:8" ht="153" x14ac:dyDescent="0.2">
      <c r="A783" t="s">
        <v>2184</v>
      </c>
      <c r="B783" t="s">
        <v>891</v>
      </c>
      <c r="C783">
        <v>2</v>
      </c>
      <c r="D783" s="1" t="s">
        <v>892</v>
      </c>
      <c r="E783" t="s">
        <v>2187</v>
      </c>
      <c r="F783">
        <v>0</v>
      </c>
      <c r="G783">
        <v>0</v>
      </c>
      <c r="H783" s="2" t="s">
        <v>893</v>
      </c>
    </row>
    <row r="784" spans="1:8" ht="38.25" x14ac:dyDescent="0.2">
      <c r="A784" t="s">
        <v>2184</v>
      </c>
      <c r="B784" t="s">
        <v>894</v>
      </c>
      <c r="C784">
        <v>1</v>
      </c>
      <c r="D784" s="1" t="s">
        <v>895</v>
      </c>
      <c r="E784" t="s">
        <v>2108</v>
      </c>
      <c r="F784">
        <v>1</v>
      </c>
      <c r="G784">
        <v>0</v>
      </c>
      <c r="H784" s="1" t="s">
        <v>896</v>
      </c>
    </row>
    <row r="785" spans="1:8" ht="38.25" x14ac:dyDescent="0.2">
      <c r="A785" t="s">
        <v>2184</v>
      </c>
      <c r="B785" t="s">
        <v>897</v>
      </c>
      <c r="C785">
        <v>1</v>
      </c>
      <c r="D785" s="1" t="s">
        <v>898</v>
      </c>
      <c r="E785" t="s">
        <v>2108</v>
      </c>
      <c r="F785">
        <v>1</v>
      </c>
      <c r="G785">
        <v>12</v>
      </c>
      <c r="H785" s="1" t="s">
        <v>899</v>
      </c>
    </row>
    <row r="786" spans="1:8" ht="38.25" x14ac:dyDescent="0.2">
      <c r="A786" t="s">
        <v>2184</v>
      </c>
      <c r="B786" t="s">
        <v>900</v>
      </c>
      <c r="C786">
        <v>1</v>
      </c>
      <c r="D786" s="1" t="s">
        <v>901</v>
      </c>
      <c r="E786" t="s">
        <v>2108</v>
      </c>
      <c r="F786">
        <v>1</v>
      </c>
      <c r="G786">
        <v>0</v>
      </c>
      <c r="H786" s="1" t="s">
        <v>902</v>
      </c>
    </row>
    <row r="787" spans="1:8" ht="38.25" x14ac:dyDescent="0.2">
      <c r="A787" t="s">
        <v>2184</v>
      </c>
      <c r="B787" t="s">
        <v>903</v>
      </c>
      <c r="C787">
        <v>1</v>
      </c>
      <c r="D787" s="1" t="s">
        <v>904</v>
      </c>
      <c r="E787" t="s">
        <v>2108</v>
      </c>
      <c r="F787">
        <v>1</v>
      </c>
      <c r="G787">
        <v>0</v>
      </c>
      <c r="H787" s="1" t="s">
        <v>905</v>
      </c>
    </row>
    <row r="788" spans="1:8" ht="38.25" x14ac:dyDescent="0.2">
      <c r="A788" t="s">
        <v>2184</v>
      </c>
      <c r="B788" t="s">
        <v>906</v>
      </c>
      <c r="C788">
        <v>1</v>
      </c>
      <c r="D788" s="1" t="s">
        <v>907</v>
      </c>
      <c r="E788" t="s">
        <v>2108</v>
      </c>
      <c r="F788">
        <v>1</v>
      </c>
      <c r="G788">
        <v>15</v>
      </c>
      <c r="H788" s="1" t="s">
        <v>908</v>
      </c>
    </row>
    <row r="789" spans="1:8" ht="51" x14ac:dyDescent="0.2">
      <c r="A789" t="s">
        <v>2184</v>
      </c>
      <c r="B789" t="s">
        <v>909</v>
      </c>
      <c r="C789">
        <v>1</v>
      </c>
      <c r="D789" s="1" t="s">
        <v>910</v>
      </c>
      <c r="E789" t="s">
        <v>2108</v>
      </c>
      <c r="F789">
        <v>1</v>
      </c>
      <c r="G789">
        <v>20</v>
      </c>
      <c r="H789" s="1" t="s">
        <v>911</v>
      </c>
    </row>
    <row r="790" spans="1:8" ht="38.25" x14ac:dyDescent="0.2">
      <c r="A790" t="s">
        <v>2184</v>
      </c>
      <c r="B790" t="s">
        <v>912</v>
      </c>
      <c r="C790">
        <v>1</v>
      </c>
      <c r="D790" s="1" t="s">
        <v>913</v>
      </c>
      <c r="E790" t="s">
        <v>2108</v>
      </c>
      <c r="F790">
        <v>1</v>
      </c>
      <c r="G790">
        <v>0</v>
      </c>
      <c r="H790" s="1" t="s">
        <v>914</v>
      </c>
    </row>
    <row r="791" spans="1:8" ht="38.25" x14ac:dyDescent="0.2">
      <c r="A791" t="s">
        <v>2184</v>
      </c>
      <c r="B791" t="s">
        <v>915</v>
      </c>
      <c r="C791">
        <v>1</v>
      </c>
      <c r="D791" s="1" t="s">
        <v>916</v>
      </c>
      <c r="E791" t="s">
        <v>2108</v>
      </c>
      <c r="F791">
        <v>1</v>
      </c>
      <c r="G791">
        <v>0</v>
      </c>
      <c r="H791" s="1" t="s">
        <v>917</v>
      </c>
    </row>
    <row r="792" spans="1:8" ht="38.25" x14ac:dyDescent="0.2">
      <c r="A792" t="s">
        <v>2184</v>
      </c>
      <c r="B792" t="s">
        <v>918</v>
      </c>
      <c r="C792">
        <v>1</v>
      </c>
      <c r="D792" s="1" t="s">
        <v>919</v>
      </c>
      <c r="E792" t="s">
        <v>2108</v>
      </c>
      <c r="F792">
        <v>1</v>
      </c>
      <c r="G792">
        <v>0</v>
      </c>
      <c r="H792" s="1" t="s">
        <v>920</v>
      </c>
    </row>
    <row r="793" spans="1:8" ht="127.5" x14ac:dyDescent="0.2">
      <c r="A793" t="s">
        <v>2184</v>
      </c>
      <c r="B793" t="s">
        <v>921</v>
      </c>
      <c r="C793">
        <v>2</v>
      </c>
      <c r="D793" s="1" t="s">
        <v>922</v>
      </c>
      <c r="E793" t="s">
        <v>2187</v>
      </c>
      <c r="F793">
        <v>0</v>
      </c>
      <c r="G793">
        <v>0</v>
      </c>
      <c r="H793" s="2" t="s">
        <v>302</v>
      </c>
    </row>
    <row r="794" spans="1:8" ht="38.25" x14ac:dyDescent="0.2">
      <c r="A794" t="s">
        <v>2184</v>
      </c>
      <c r="B794" t="s">
        <v>303</v>
      </c>
      <c r="C794">
        <v>1</v>
      </c>
      <c r="D794" s="1" t="s">
        <v>304</v>
      </c>
      <c r="E794" t="s">
        <v>2108</v>
      </c>
      <c r="F794">
        <v>1</v>
      </c>
      <c r="G794">
        <v>2.5</v>
      </c>
      <c r="H794" s="1" t="s">
        <v>305</v>
      </c>
    </row>
    <row r="795" spans="1:8" ht="51" x14ac:dyDescent="0.2">
      <c r="A795" t="s">
        <v>2184</v>
      </c>
      <c r="B795" t="s">
        <v>306</v>
      </c>
      <c r="C795">
        <v>1</v>
      </c>
      <c r="D795" s="1" t="s">
        <v>307</v>
      </c>
      <c r="E795" t="s">
        <v>2108</v>
      </c>
      <c r="F795">
        <v>1</v>
      </c>
      <c r="G795">
        <v>2</v>
      </c>
      <c r="H795" s="1" t="s">
        <v>308</v>
      </c>
    </row>
    <row r="796" spans="1:8" x14ac:dyDescent="0.2">
      <c r="A796" t="s">
        <v>2184</v>
      </c>
      <c r="B796" t="s">
        <v>309</v>
      </c>
      <c r="C796">
        <v>2</v>
      </c>
      <c r="D796" s="1" t="s">
        <v>310</v>
      </c>
      <c r="E796" t="s">
        <v>2187</v>
      </c>
      <c r="F796">
        <v>0</v>
      </c>
      <c r="G796">
        <v>0</v>
      </c>
    </row>
    <row r="797" spans="1:8" ht="25.5" x14ac:dyDescent="0.2">
      <c r="A797" t="s">
        <v>2184</v>
      </c>
      <c r="B797" t="s">
        <v>311</v>
      </c>
      <c r="C797">
        <v>2</v>
      </c>
      <c r="D797" s="1" t="s">
        <v>312</v>
      </c>
      <c r="E797" t="s">
        <v>2187</v>
      </c>
      <c r="F797">
        <v>0</v>
      </c>
      <c r="G797">
        <v>0</v>
      </c>
    </row>
    <row r="798" spans="1:8" ht="178.5" x14ac:dyDescent="0.2">
      <c r="A798" t="s">
        <v>2184</v>
      </c>
      <c r="B798" t="s">
        <v>313</v>
      </c>
      <c r="C798">
        <v>1</v>
      </c>
      <c r="D798" s="1" t="s">
        <v>314</v>
      </c>
      <c r="E798" t="s">
        <v>2204</v>
      </c>
      <c r="F798">
        <v>1</v>
      </c>
      <c r="G798">
        <v>135</v>
      </c>
      <c r="H798" s="2" t="s">
        <v>315</v>
      </c>
    </row>
    <row r="799" spans="1:8" ht="229.5" x14ac:dyDescent="0.2">
      <c r="A799" t="s">
        <v>2184</v>
      </c>
      <c r="B799" t="s">
        <v>316</v>
      </c>
      <c r="C799">
        <v>1</v>
      </c>
      <c r="D799" s="1" t="s">
        <v>317</v>
      </c>
      <c r="E799" t="s">
        <v>2204</v>
      </c>
      <c r="F799">
        <v>1</v>
      </c>
      <c r="G799">
        <v>145</v>
      </c>
      <c r="H799" s="2" t="s">
        <v>586</v>
      </c>
    </row>
    <row r="800" spans="1:8" ht="229.5" x14ac:dyDescent="0.2">
      <c r="A800" t="s">
        <v>2184</v>
      </c>
      <c r="B800" t="s">
        <v>587</v>
      </c>
      <c r="C800">
        <v>1</v>
      </c>
      <c r="D800" s="1" t="s">
        <v>588</v>
      </c>
      <c r="E800" t="s">
        <v>2204</v>
      </c>
      <c r="F800">
        <v>1</v>
      </c>
      <c r="G800">
        <v>175</v>
      </c>
      <c r="H800" s="2" t="s">
        <v>589</v>
      </c>
    </row>
    <row r="801" spans="1:8" x14ac:dyDescent="0.2">
      <c r="A801" t="s">
        <v>2184</v>
      </c>
      <c r="B801" t="s">
        <v>590</v>
      </c>
      <c r="C801">
        <v>2</v>
      </c>
      <c r="D801" s="1" t="s">
        <v>591</v>
      </c>
      <c r="E801" t="s">
        <v>2187</v>
      </c>
      <c r="F801">
        <v>0</v>
      </c>
      <c r="G801">
        <v>0</v>
      </c>
    </row>
    <row r="802" spans="1:8" ht="216.75" x14ac:dyDescent="0.2">
      <c r="A802" t="s">
        <v>2184</v>
      </c>
      <c r="B802" t="s">
        <v>592</v>
      </c>
      <c r="C802">
        <v>1</v>
      </c>
      <c r="D802" s="1" t="s">
        <v>593</v>
      </c>
      <c r="E802" t="s">
        <v>2204</v>
      </c>
      <c r="F802">
        <v>1</v>
      </c>
      <c r="G802">
        <v>100</v>
      </c>
      <c r="H802" s="2" t="s">
        <v>40</v>
      </c>
    </row>
    <row r="803" spans="1:8" ht="216.75" x14ac:dyDescent="0.2">
      <c r="A803" t="s">
        <v>2184</v>
      </c>
      <c r="B803" t="s">
        <v>41</v>
      </c>
      <c r="C803">
        <v>1</v>
      </c>
      <c r="D803" s="1" t="s">
        <v>42</v>
      </c>
      <c r="E803" t="s">
        <v>2204</v>
      </c>
      <c r="F803">
        <v>1</v>
      </c>
      <c r="G803">
        <v>115</v>
      </c>
      <c r="H803" s="2" t="s">
        <v>470</v>
      </c>
    </row>
    <row r="804" spans="1:8" x14ac:dyDescent="0.2">
      <c r="A804" t="s">
        <v>2184</v>
      </c>
      <c r="B804" t="s">
        <v>471</v>
      </c>
      <c r="C804">
        <v>2</v>
      </c>
      <c r="D804" s="1" t="s">
        <v>472</v>
      </c>
      <c r="E804" t="s">
        <v>2187</v>
      </c>
      <c r="F804">
        <v>0</v>
      </c>
      <c r="G804">
        <v>0</v>
      </c>
    </row>
    <row r="805" spans="1:8" ht="165.75" x14ac:dyDescent="0.2">
      <c r="A805" t="s">
        <v>2184</v>
      </c>
      <c r="B805" t="s">
        <v>473</v>
      </c>
      <c r="C805">
        <v>1</v>
      </c>
      <c r="D805" s="1" t="s">
        <v>474</v>
      </c>
      <c r="E805" t="s">
        <v>2204</v>
      </c>
      <c r="F805">
        <v>1</v>
      </c>
      <c r="G805">
        <v>110</v>
      </c>
      <c r="H805" s="2" t="s">
        <v>1005</v>
      </c>
    </row>
    <row r="806" spans="1:8" ht="25.5" x14ac:dyDescent="0.2">
      <c r="A806" t="s">
        <v>2184</v>
      </c>
      <c r="B806" t="s">
        <v>1006</v>
      </c>
      <c r="C806">
        <v>2</v>
      </c>
      <c r="D806" s="1" t="s">
        <v>1007</v>
      </c>
      <c r="E806" t="s">
        <v>2187</v>
      </c>
      <c r="F806">
        <v>0</v>
      </c>
      <c r="G806">
        <v>0</v>
      </c>
    </row>
    <row r="807" spans="1:8" ht="153" x14ac:dyDescent="0.2">
      <c r="A807" t="s">
        <v>2184</v>
      </c>
      <c r="B807" t="s">
        <v>1008</v>
      </c>
      <c r="C807">
        <v>1</v>
      </c>
      <c r="D807" s="1" t="s">
        <v>1009</v>
      </c>
      <c r="E807" t="s">
        <v>2204</v>
      </c>
      <c r="F807">
        <v>1</v>
      </c>
      <c r="G807">
        <v>150</v>
      </c>
      <c r="H807" s="2" t="s">
        <v>1010</v>
      </c>
    </row>
    <row r="808" spans="1:8" ht="25.5" x14ac:dyDescent="0.2">
      <c r="A808" t="s">
        <v>2184</v>
      </c>
      <c r="B808" t="s">
        <v>1011</v>
      </c>
      <c r="C808">
        <v>2</v>
      </c>
      <c r="D808" s="1" t="s">
        <v>1012</v>
      </c>
      <c r="E808" t="s">
        <v>2187</v>
      </c>
      <c r="F808">
        <v>0</v>
      </c>
      <c r="G808">
        <v>0</v>
      </c>
    </row>
    <row r="809" spans="1:8" x14ac:dyDescent="0.2">
      <c r="A809" t="s">
        <v>2184</v>
      </c>
      <c r="B809" t="s">
        <v>1013</v>
      </c>
      <c r="C809">
        <v>2</v>
      </c>
      <c r="D809" s="1" t="s">
        <v>1014</v>
      </c>
      <c r="E809" t="s">
        <v>2187</v>
      </c>
      <c r="F809">
        <v>0</v>
      </c>
      <c r="G809">
        <v>0</v>
      </c>
    </row>
    <row r="810" spans="1:8" ht="76.5" x14ac:dyDescent="0.2">
      <c r="A810" t="s">
        <v>2184</v>
      </c>
      <c r="B810" t="s">
        <v>1015</v>
      </c>
      <c r="C810">
        <v>1</v>
      </c>
      <c r="D810" s="1" t="s">
        <v>1016</v>
      </c>
      <c r="E810" t="s">
        <v>2192</v>
      </c>
      <c r="F810">
        <v>1</v>
      </c>
      <c r="G810">
        <v>0</v>
      </c>
      <c r="H810" s="2" t="s">
        <v>1017</v>
      </c>
    </row>
    <row r="811" spans="1:8" x14ac:dyDescent="0.2">
      <c r="A811" t="s">
        <v>2184</v>
      </c>
      <c r="B811" t="s">
        <v>1018</v>
      </c>
      <c r="C811">
        <v>2</v>
      </c>
      <c r="D811" s="1" t="s">
        <v>1019</v>
      </c>
      <c r="E811" t="s">
        <v>2187</v>
      </c>
      <c r="F811">
        <v>0</v>
      </c>
      <c r="G811">
        <v>0</v>
      </c>
    </row>
    <row r="812" spans="1:8" ht="25.5" x14ac:dyDescent="0.2">
      <c r="A812" t="s">
        <v>2184</v>
      </c>
      <c r="B812" t="s">
        <v>1020</v>
      </c>
      <c r="C812">
        <v>2</v>
      </c>
      <c r="D812" s="1" t="s">
        <v>1021</v>
      </c>
      <c r="E812" t="s">
        <v>2187</v>
      </c>
      <c r="F812">
        <v>0</v>
      </c>
      <c r="G812">
        <v>0</v>
      </c>
    </row>
    <row r="813" spans="1:8" ht="153" x14ac:dyDescent="0.2">
      <c r="A813" t="s">
        <v>2184</v>
      </c>
      <c r="B813" t="s">
        <v>1022</v>
      </c>
      <c r="C813">
        <v>1</v>
      </c>
      <c r="D813" s="1" t="s">
        <v>1023</v>
      </c>
      <c r="E813" t="s">
        <v>2149</v>
      </c>
      <c r="F813">
        <v>1</v>
      </c>
      <c r="G813">
        <v>3.1</v>
      </c>
      <c r="H813" s="2" t="s">
        <v>1024</v>
      </c>
    </row>
    <row r="814" spans="1:8" ht="102" x14ac:dyDescent="0.2">
      <c r="A814" t="s">
        <v>2184</v>
      </c>
      <c r="B814" t="s">
        <v>1025</v>
      </c>
      <c r="C814">
        <v>1</v>
      </c>
      <c r="D814" s="1" t="s">
        <v>1026</v>
      </c>
      <c r="E814" t="s">
        <v>2149</v>
      </c>
      <c r="F814">
        <v>1</v>
      </c>
      <c r="G814">
        <v>3</v>
      </c>
      <c r="H814" s="2" t="s">
        <v>1027</v>
      </c>
    </row>
    <row r="815" spans="1:8" x14ac:dyDescent="0.2">
      <c r="A815" t="s">
        <v>2184</v>
      </c>
      <c r="B815" t="s">
        <v>1028</v>
      </c>
      <c r="C815">
        <v>2</v>
      </c>
      <c r="D815" s="1" t="s">
        <v>1029</v>
      </c>
      <c r="E815" t="s">
        <v>2187</v>
      </c>
      <c r="F815">
        <v>0</v>
      </c>
      <c r="G815">
        <v>0</v>
      </c>
    </row>
    <row r="816" spans="1:8" ht="153" x14ac:dyDescent="0.2">
      <c r="A816" t="s">
        <v>2184</v>
      </c>
      <c r="B816" t="s">
        <v>1030</v>
      </c>
      <c r="C816">
        <v>1</v>
      </c>
      <c r="D816" s="1" t="s">
        <v>1029</v>
      </c>
      <c r="E816" t="s">
        <v>2149</v>
      </c>
      <c r="F816">
        <v>1</v>
      </c>
      <c r="G816">
        <v>2</v>
      </c>
      <c r="H816" s="2" t="s">
        <v>411</v>
      </c>
    </row>
    <row r="817" spans="1:8" ht="140.25" x14ac:dyDescent="0.2">
      <c r="A817" t="s">
        <v>2184</v>
      </c>
      <c r="B817" t="s">
        <v>412</v>
      </c>
      <c r="C817">
        <v>1</v>
      </c>
      <c r="D817" s="1" t="s">
        <v>413</v>
      </c>
      <c r="E817" t="s">
        <v>2149</v>
      </c>
      <c r="F817">
        <v>1</v>
      </c>
      <c r="G817">
        <v>3</v>
      </c>
      <c r="H817" s="2" t="s">
        <v>414</v>
      </c>
    </row>
    <row r="818" spans="1:8" ht="140.25" x14ac:dyDescent="0.2">
      <c r="A818" t="s">
        <v>2184</v>
      </c>
      <c r="B818" t="s">
        <v>415</v>
      </c>
      <c r="C818">
        <v>1</v>
      </c>
      <c r="D818" s="1" t="s">
        <v>416</v>
      </c>
      <c r="E818" t="s">
        <v>2149</v>
      </c>
      <c r="F818">
        <v>1</v>
      </c>
      <c r="G818">
        <v>0.5</v>
      </c>
      <c r="H818" s="2" t="s">
        <v>417</v>
      </c>
    </row>
    <row r="819" spans="1:8" x14ac:dyDescent="0.2">
      <c r="A819" t="s">
        <v>2184</v>
      </c>
      <c r="B819" t="s">
        <v>418</v>
      </c>
      <c r="C819">
        <v>2</v>
      </c>
      <c r="D819" s="1" t="s">
        <v>419</v>
      </c>
      <c r="E819" t="s">
        <v>2187</v>
      </c>
      <c r="F819">
        <v>0</v>
      </c>
      <c r="G819">
        <v>0</v>
      </c>
    </row>
    <row r="820" spans="1:8" ht="127.5" x14ac:dyDescent="0.2">
      <c r="A820" t="s">
        <v>2184</v>
      </c>
      <c r="B820" t="s">
        <v>420</v>
      </c>
      <c r="C820">
        <v>1</v>
      </c>
      <c r="D820" s="1" t="s">
        <v>419</v>
      </c>
      <c r="E820" t="s">
        <v>2149</v>
      </c>
      <c r="F820">
        <v>1</v>
      </c>
      <c r="G820">
        <v>2</v>
      </c>
      <c r="H820" s="2" t="s">
        <v>689</v>
      </c>
    </row>
    <row r="821" spans="1:8" ht="140.25" x14ac:dyDescent="0.2">
      <c r="A821" t="s">
        <v>2184</v>
      </c>
      <c r="B821" t="s">
        <v>690</v>
      </c>
      <c r="C821">
        <v>1</v>
      </c>
      <c r="D821" s="1" t="s">
        <v>691</v>
      </c>
      <c r="E821" t="s">
        <v>2149</v>
      </c>
      <c r="F821">
        <v>1</v>
      </c>
      <c r="G821">
        <v>4</v>
      </c>
      <c r="H821" s="2" t="s">
        <v>692</v>
      </c>
    </row>
    <row r="822" spans="1:8" ht="127.5" x14ac:dyDescent="0.2">
      <c r="A822" t="s">
        <v>2184</v>
      </c>
      <c r="B822" t="s">
        <v>937</v>
      </c>
      <c r="C822">
        <v>1</v>
      </c>
      <c r="D822" s="1" t="s">
        <v>938</v>
      </c>
      <c r="E822" t="s">
        <v>2149</v>
      </c>
      <c r="F822">
        <v>1</v>
      </c>
      <c r="G822">
        <v>1</v>
      </c>
      <c r="H822" s="2" t="s">
        <v>189</v>
      </c>
    </row>
    <row r="823" spans="1:8" ht="89.25" x14ac:dyDescent="0.2">
      <c r="A823" t="s">
        <v>2184</v>
      </c>
      <c r="B823" t="s">
        <v>190</v>
      </c>
      <c r="C823">
        <v>1</v>
      </c>
      <c r="D823" s="1" t="s">
        <v>191</v>
      </c>
      <c r="E823" t="s">
        <v>2149</v>
      </c>
      <c r="F823">
        <v>1</v>
      </c>
      <c r="G823">
        <v>2</v>
      </c>
      <c r="H823" s="2" t="s">
        <v>192</v>
      </c>
    </row>
    <row r="824" spans="1:8" ht="89.25" x14ac:dyDescent="0.2">
      <c r="A824" t="s">
        <v>2184</v>
      </c>
      <c r="B824" t="s">
        <v>193</v>
      </c>
      <c r="C824">
        <v>1</v>
      </c>
      <c r="D824" s="1" t="s">
        <v>194</v>
      </c>
      <c r="E824" t="s">
        <v>2149</v>
      </c>
      <c r="F824">
        <v>1</v>
      </c>
      <c r="G824">
        <v>0</v>
      </c>
      <c r="H824" s="2" t="s">
        <v>195</v>
      </c>
    </row>
    <row r="825" spans="1:8" ht="63.75" x14ac:dyDescent="0.2">
      <c r="A825" t="s">
        <v>2184</v>
      </c>
      <c r="B825" t="s">
        <v>196</v>
      </c>
      <c r="C825">
        <v>1</v>
      </c>
      <c r="D825" s="1" t="s">
        <v>197</v>
      </c>
      <c r="E825" t="s">
        <v>2192</v>
      </c>
      <c r="F825">
        <v>1</v>
      </c>
      <c r="G825">
        <v>5</v>
      </c>
      <c r="H825" s="1" t="s">
        <v>269</v>
      </c>
    </row>
    <row r="826" spans="1:8" x14ac:dyDescent="0.2">
      <c r="A826" t="s">
        <v>2184</v>
      </c>
      <c r="B826" t="s">
        <v>270</v>
      </c>
      <c r="C826">
        <v>2</v>
      </c>
      <c r="D826" s="1" t="s">
        <v>271</v>
      </c>
      <c r="E826" t="s">
        <v>2187</v>
      </c>
      <c r="F826">
        <v>0</v>
      </c>
      <c r="G826">
        <v>0</v>
      </c>
    </row>
    <row r="827" spans="1:8" ht="102" x14ac:dyDescent="0.2">
      <c r="A827" t="s">
        <v>2184</v>
      </c>
      <c r="B827" t="s">
        <v>272</v>
      </c>
      <c r="C827">
        <v>1</v>
      </c>
      <c r="D827" s="1" t="s">
        <v>271</v>
      </c>
      <c r="E827" t="s">
        <v>2149</v>
      </c>
      <c r="F827">
        <v>1</v>
      </c>
      <c r="G827">
        <v>1</v>
      </c>
      <c r="H827" s="2" t="s">
        <v>273</v>
      </c>
    </row>
    <row r="828" spans="1:8" ht="25.5" x14ac:dyDescent="0.2">
      <c r="A828" t="s">
        <v>2184</v>
      </c>
      <c r="B828" t="s">
        <v>274</v>
      </c>
      <c r="C828">
        <v>2</v>
      </c>
      <c r="D828" s="1" t="s">
        <v>275</v>
      </c>
      <c r="E828" t="s">
        <v>2187</v>
      </c>
      <c r="F828">
        <v>0</v>
      </c>
      <c r="G828">
        <v>0</v>
      </c>
    </row>
    <row r="829" spans="1:8" ht="76.5" x14ac:dyDescent="0.2">
      <c r="A829" t="s">
        <v>2184</v>
      </c>
      <c r="B829" t="s">
        <v>276</v>
      </c>
      <c r="C829">
        <v>1</v>
      </c>
      <c r="D829" s="1" t="s">
        <v>277</v>
      </c>
      <c r="E829" t="s">
        <v>2149</v>
      </c>
      <c r="F829">
        <v>1</v>
      </c>
      <c r="G829">
        <v>3.5</v>
      </c>
      <c r="H829" s="2" t="s">
        <v>278</v>
      </c>
    </row>
    <row r="830" spans="1:8" ht="140.25" x14ac:dyDescent="0.2">
      <c r="A830" t="s">
        <v>2184</v>
      </c>
      <c r="B830" t="s">
        <v>279</v>
      </c>
      <c r="C830">
        <v>1</v>
      </c>
      <c r="D830" s="1" t="s">
        <v>691</v>
      </c>
      <c r="E830" t="s">
        <v>2149</v>
      </c>
      <c r="F830">
        <v>1</v>
      </c>
      <c r="G830">
        <v>4</v>
      </c>
      <c r="H830" s="2" t="s">
        <v>692</v>
      </c>
    </row>
    <row r="831" spans="1:8" ht="140.25" x14ac:dyDescent="0.2">
      <c r="A831" t="s">
        <v>2184</v>
      </c>
      <c r="B831" t="s">
        <v>280</v>
      </c>
      <c r="C831">
        <v>1</v>
      </c>
      <c r="D831" s="1" t="s">
        <v>938</v>
      </c>
      <c r="E831" t="s">
        <v>2149</v>
      </c>
      <c r="F831">
        <v>1</v>
      </c>
      <c r="G831">
        <v>3.6</v>
      </c>
      <c r="H831" s="2" t="s">
        <v>281</v>
      </c>
    </row>
    <row r="832" spans="1:8" ht="89.25" x14ac:dyDescent="0.2">
      <c r="A832" t="s">
        <v>2184</v>
      </c>
      <c r="B832" t="s">
        <v>282</v>
      </c>
      <c r="C832">
        <v>1</v>
      </c>
      <c r="D832" s="1" t="s">
        <v>191</v>
      </c>
      <c r="E832" t="s">
        <v>2149</v>
      </c>
      <c r="F832">
        <v>1</v>
      </c>
      <c r="G832">
        <v>2</v>
      </c>
      <c r="H832" s="2" t="s">
        <v>192</v>
      </c>
    </row>
    <row r="833" spans="1:8" ht="89.25" x14ac:dyDescent="0.2">
      <c r="A833" t="s">
        <v>2184</v>
      </c>
      <c r="B833" t="s">
        <v>283</v>
      </c>
      <c r="C833">
        <v>1</v>
      </c>
      <c r="D833" s="1" t="s">
        <v>194</v>
      </c>
      <c r="E833" t="s">
        <v>2149</v>
      </c>
      <c r="F833">
        <v>1</v>
      </c>
      <c r="G833">
        <v>0</v>
      </c>
      <c r="H833" s="2" t="s">
        <v>195</v>
      </c>
    </row>
    <row r="834" spans="1:8" ht="63.75" x14ac:dyDescent="0.2">
      <c r="A834" t="s">
        <v>2184</v>
      </c>
      <c r="B834" t="s">
        <v>284</v>
      </c>
      <c r="C834">
        <v>1</v>
      </c>
      <c r="D834" s="1" t="s">
        <v>197</v>
      </c>
      <c r="E834" t="s">
        <v>2192</v>
      </c>
      <c r="F834">
        <v>1</v>
      </c>
      <c r="G834">
        <v>5</v>
      </c>
      <c r="H834" s="1" t="s">
        <v>269</v>
      </c>
    </row>
    <row r="835" spans="1:8" ht="38.25" x14ac:dyDescent="0.2">
      <c r="A835" t="s">
        <v>2184</v>
      </c>
      <c r="B835" t="s">
        <v>285</v>
      </c>
      <c r="C835">
        <v>2</v>
      </c>
      <c r="D835" s="1" t="s">
        <v>286</v>
      </c>
      <c r="E835" t="s">
        <v>2187</v>
      </c>
      <c r="F835">
        <v>0</v>
      </c>
      <c r="G835">
        <v>0</v>
      </c>
    </row>
    <row r="836" spans="1:8" ht="102" x14ac:dyDescent="0.2">
      <c r="A836" t="s">
        <v>2184</v>
      </c>
      <c r="B836" t="s">
        <v>287</v>
      </c>
      <c r="C836">
        <v>1</v>
      </c>
      <c r="D836" s="1" t="s">
        <v>288</v>
      </c>
      <c r="E836" t="s">
        <v>2149</v>
      </c>
      <c r="F836">
        <v>1</v>
      </c>
      <c r="G836">
        <v>0.6</v>
      </c>
      <c r="H836" s="2" t="s">
        <v>289</v>
      </c>
    </row>
    <row r="837" spans="1:8" ht="102" x14ac:dyDescent="0.2">
      <c r="A837" t="s">
        <v>2184</v>
      </c>
      <c r="B837" t="s">
        <v>290</v>
      </c>
      <c r="C837">
        <v>1</v>
      </c>
      <c r="D837" s="1" t="s">
        <v>291</v>
      </c>
      <c r="E837" t="s">
        <v>2149</v>
      </c>
      <c r="F837">
        <v>1</v>
      </c>
      <c r="G837">
        <v>3</v>
      </c>
      <c r="H837" s="2" t="s">
        <v>292</v>
      </c>
    </row>
    <row r="838" spans="1:8" ht="102" x14ac:dyDescent="0.2">
      <c r="A838" t="s">
        <v>2184</v>
      </c>
      <c r="B838" t="s">
        <v>293</v>
      </c>
      <c r="C838">
        <v>1</v>
      </c>
      <c r="D838" s="1" t="s">
        <v>294</v>
      </c>
      <c r="E838" t="s">
        <v>2149</v>
      </c>
      <c r="F838">
        <v>1</v>
      </c>
      <c r="G838">
        <v>2.6</v>
      </c>
      <c r="H838" s="2" t="s">
        <v>295</v>
      </c>
    </row>
    <row r="839" spans="1:8" ht="76.5" x14ac:dyDescent="0.2">
      <c r="A839" t="s">
        <v>2184</v>
      </c>
      <c r="B839" t="s">
        <v>296</v>
      </c>
      <c r="C839">
        <v>1</v>
      </c>
      <c r="D839" s="1" t="s">
        <v>297</v>
      </c>
      <c r="E839" t="s">
        <v>2149</v>
      </c>
      <c r="F839">
        <v>1</v>
      </c>
      <c r="G839">
        <v>3</v>
      </c>
      <c r="H839" s="2" t="s">
        <v>298</v>
      </c>
    </row>
    <row r="840" spans="1:8" x14ac:dyDescent="0.2">
      <c r="A840" t="s">
        <v>2184</v>
      </c>
      <c r="B840" t="s">
        <v>299</v>
      </c>
      <c r="C840">
        <v>2</v>
      </c>
      <c r="D840" s="1" t="s">
        <v>300</v>
      </c>
      <c r="E840" t="s">
        <v>2187</v>
      </c>
      <c r="F840">
        <v>0</v>
      </c>
      <c r="G840">
        <v>0</v>
      </c>
    </row>
    <row r="841" spans="1:8" x14ac:dyDescent="0.2">
      <c r="A841" t="s">
        <v>2184</v>
      </c>
      <c r="B841" t="s">
        <v>301</v>
      </c>
      <c r="C841">
        <v>2</v>
      </c>
      <c r="D841" s="1" t="s">
        <v>129</v>
      </c>
      <c r="E841" t="s">
        <v>2187</v>
      </c>
      <c r="F841">
        <v>0</v>
      </c>
      <c r="G841">
        <v>0</v>
      </c>
    </row>
    <row r="842" spans="1:8" ht="76.5" x14ac:dyDescent="0.2">
      <c r="A842" t="s">
        <v>2184</v>
      </c>
      <c r="B842" t="s">
        <v>130</v>
      </c>
      <c r="C842">
        <v>1</v>
      </c>
      <c r="D842" s="1" t="s">
        <v>131</v>
      </c>
      <c r="E842" t="s">
        <v>2108</v>
      </c>
      <c r="F842">
        <v>1</v>
      </c>
      <c r="G842">
        <v>150</v>
      </c>
      <c r="H842" s="1" t="s">
        <v>132</v>
      </c>
    </row>
    <row r="843" spans="1:8" ht="114.75" x14ac:dyDescent="0.2">
      <c r="A843" t="s">
        <v>2184</v>
      </c>
      <c r="B843" t="s">
        <v>133</v>
      </c>
      <c r="C843">
        <v>1</v>
      </c>
      <c r="D843" s="1" t="s">
        <v>134</v>
      </c>
      <c r="E843" t="s">
        <v>2108</v>
      </c>
      <c r="F843">
        <v>1</v>
      </c>
      <c r="G843">
        <v>40</v>
      </c>
      <c r="H843" s="2" t="s">
        <v>135</v>
      </c>
    </row>
    <row r="844" spans="1:8" ht="114.75" x14ac:dyDescent="0.2">
      <c r="A844" t="s">
        <v>2184</v>
      </c>
      <c r="B844" t="s">
        <v>136</v>
      </c>
      <c r="C844">
        <v>1</v>
      </c>
      <c r="D844" s="1" t="s">
        <v>137</v>
      </c>
      <c r="E844" t="s">
        <v>2108</v>
      </c>
      <c r="F844">
        <v>1</v>
      </c>
      <c r="G844">
        <v>30</v>
      </c>
      <c r="H844" s="2" t="s">
        <v>138</v>
      </c>
    </row>
    <row r="845" spans="1:8" ht="127.5" x14ac:dyDescent="0.2">
      <c r="A845" t="s">
        <v>2184</v>
      </c>
      <c r="B845" t="s">
        <v>139</v>
      </c>
      <c r="C845">
        <v>1</v>
      </c>
      <c r="D845" s="1" t="s">
        <v>140</v>
      </c>
      <c r="E845" t="s">
        <v>2108</v>
      </c>
      <c r="F845">
        <v>1</v>
      </c>
      <c r="G845">
        <v>45</v>
      </c>
      <c r="H845" s="2" t="s">
        <v>141</v>
      </c>
    </row>
    <row r="846" spans="1:8" ht="89.25" x14ac:dyDescent="0.2">
      <c r="A846" t="s">
        <v>2184</v>
      </c>
      <c r="B846" t="s">
        <v>142</v>
      </c>
      <c r="C846">
        <v>1</v>
      </c>
      <c r="D846" s="1" t="s">
        <v>143</v>
      </c>
      <c r="E846" t="s">
        <v>2108</v>
      </c>
      <c r="F846">
        <v>1</v>
      </c>
      <c r="G846">
        <v>30</v>
      </c>
      <c r="H846" s="2" t="s">
        <v>27</v>
      </c>
    </row>
    <row r="847" spans="1:8" ht="165.75" x14ac:dyDescent="0.2">
      <c r="A847" t="s">
        <v>2184</v>
      </c>
      <c r="B847" t="s">
        <v>28</v>
      </c>
      <c r="C847">
        <v>1</v>
      </c>
      <c r="D847" s="1" t="s">
        <v>29</v>
      </c>
      <c r="E847" t="s">
        <v>2108</v>
      </c>
      <c r="F847">
        <v>1</v>
      </c>
      <c r="G847">
        <v>100</v>
      </c>
      <c r="H847" s="2" t="s">
        <v>809</v>
      </c>
    </row>
    <row r="848" spans="1:8" ht="153" x14ac:dyDescent="0.2">
      <c r="A848" t="s">
        <v>2184</v>
      </c>
      <c r="B848" t="s">
        <v>810</v>
      </c>
      <c r="C848">
        <v>1</v>
      </c>
      <c r="D848" s="1" t="s">
        <v>811</v>
      </c>
      <c r="E848" t="s">
        <v>2108</v>
      </c>
      <c r="F848">
        <v>1</v>
      </c>
      <c r="G848">
        <v>80</v>
      </c>
      <c r="H848" s="2" t="s">
        <v>812</v>
      </c>
    </row>
    <row r="849" spans="1:8" ht="140.25" x14ac:dyDescent="0.2">
      <c r="A849" t="s">
        <v>2184</v>
      </c>
      <c r="B849" t="s">
        <v>813</v>
      </c>
      <c r="C849">
        <v>1</v>
      </c>
      <c r="D849" s="1" t="s">
        <v>814</v>
      </c>
      <c r="E849" t="s">
        <v>2149</v>
      </c>
      <c r="F849">
        <v>1</v>
      </c>
      <c r="G849">
        <v>3</v>
      </c>
      <c r="H849" s="2" t="s">
        <v>815</v>
      </c>
    </row>
    <row r="850" spans="1:8" ht="153" x14ac:dyDescent="0.2">
      <c r="A850" t="s">
        <v>2184</v>
      </c>
      <c r="B850" t="s">
        <v>816</v>
      </c>
      <c r="C850">
        <v>1</v>
      </c>
      <c r="D850" s="1" t="s">
        <v>817</v>
      </c>
      <c r="E850" t="s">
        <v>2149</v>
      </c>
      <c r="F850">
        <v>1</v>
      </c>
      <c r="G850">
        <v>3</v>
      </c>
      <c r="H850" s="2" t="s">
        <v>818</v>
      </c>
    </row>
    <row r="851" spans="1:8" ht="140.25" x14ac:dyDescent="0.2">
      <c r="A851" t="s">
        <v>2184</v>
      </c>
      <c r="B851" t="s">
        <v>819</v>
      </c>
      <c r="C851">
        <v>1</v>
      </c>
      <c r="D851" s="1" t="s">
        <v>820</v>
      </c>
      <c r="E851" t="s">
        <v>2149</v>
      </c>
      <c r="F851">
        <v>1</v>
      </c>
      <c r="G851">
        <v>4.5</v>
      </c>
      <c r="H851" s="2" t="s">
        <v>821</v>
      </c>
    </row>
    <row r="852" spans="1:8" x14ac:dyDescent="0.2">
      <c r="A852" t="s">
        <v>2184</v>
      </c>
      <c r="B852" t="s">
        <v>822</v>
      </c>
      <c r="C852">
        <v>2</v>
      </c>
      <c r="D852" s="1" t="s">
        <v>399</v>
      </c>
      <c r="E852" t="s">
        <v>2187</v>
      </c>
      <c r="F852">
        <v>0</v>
      </c>
      <c r="G852">
        <v>0</v>
      </c>
    </row>
    <row r="853" spans="1:8" ht="140.25" x14ac:dyDescent="0.2">
      <c r="A853" t="s">
        <v>2184</v>
      </c>
      <c r="B853" t="s">
        <v>400</v>
      </c>
      <c r="C853">
        <v>1</v>
      </c>
      <c r="D853" s="1" t="s">
        <v>401</v>
      </c>
      <c r="E853" t="s">
        <v>2149</v>
      </c>
      <c r="F853">
        <v>1</v>
      </c>
      <c r="G853">
        <v>7</v>
      </c>
      <c r="H853" s="2" t="s">
        <v>402</v>
      </c>
    </row>
    <row r="854" spans="1:8" ht="140.25" x14ac:dyDescent="0.2">
      <c r="A854" t="s">
        <v>2184</v>
      </c>
      <c r="B854" t="s">
        <v>403</v>
      </c>
      <c r="C854">
        <v>1</v>
      </c>
      <c r="D854" s="1" t="s">
        <v>404</v>
      </c>
      <c r="E854" t="s">
        <v>2149</v>
      </c>
      <c r="F854">
        <v>1</v>
      </c>
      <c r="G854">
        <v>7</v>
      </c>
      <c r="H854" s="2" t="s">
        <v>405</v>
      </c>
    </row>
    <row r="855" spans="1:8" ht="140.25" x14ac:dyDescent="0.2">
      <c r="A855" t="s">
        <v>2184</v>
      </c>
      <c r="B855" t="s">
        <v>406</v>
      </c>
      <c r="C855">
        <v>1</v>
      </c>
      <c r="D855" s="1" t="s">
        <v>407</v>
      </c>
      <c r="E855" t="s">
        <v>2108</v>
      </c>
      <c r="F855">
        <v>1</v>
      </c>
      <c r="G855">
        <v>15</v>
      </c>
      <c r="H855" s="2" t="s">
        <v>408</v>
      </c>
    </row>
    <row r="856" spans="1:8" ht="114.75" x14ac:dyDescent="0.2">
      <c r="A856" t="s">
        <v>2184</v>
      </c>
      <c r="B856" t="s">
        <v>409</v>
      </c>
      <c r="C856">
        <v>1</v>
      </c>
      <c r="D856" s="1" t="s">
        <v>410</v>
      </c>
      <c r="E856" t="s">
        <v>2204</v>
      </c>
      <c r="F856">
        <v>1</v>
      </c>
      <c r="G856">
        <v>12</v>
      </c>
      <c r="H856" s="2" t="s">
        <v>231</v>
      </c>
    </row>
    <row r="857" spans="1:8" ht="127.5" x14ac:dyDescent="0.2">
      <c r="A857" t="s">
        <v>2184</v>
      </c>
      <c r="B857" t="s">
        <v>232</v>
      </c>
      <c r="C857">
        <v>1</v>
      </c>
      <c r="D857" s="1" t="s">
        <v>233</v>
      </c>
      <c r="E857" t="s">
        <v>2149</v>
      </c>
      <c r="F857">
        <v>1</v>
      </c>
      <c r="G857">
        <v>15</v>
      </c>
      <c r="H857" s="2" t="s">
        <v>234</v>
      </c>
    </row>
    <row r="858" spans="1:8" ht="127.5" x14ac:dyDescent="0.2">
      <c r="A858" t="s">
        <v>2184</v>
      </c>
      <c r="B858" t="s">
        <v>235</v>
      </c>
      <c r="C858">
        <v>1</v>
      </c>
      <c r="D858" s="1" t="s">
        <v>236</v>
      </c>
      <c r="E858" t="s">
        <v>2149</v>
      </c>
      <c r="F858">
        <v>1</v>
      </c>
      <c r="G858">
        <v>10</v>
      </c>
      <c r="H858" s="2" t="s">
        <v>237</v>
      </c>
    </row>
    <row r="859" spans="1:8" ht="127.5" x14ac:dyDescent="0.2">
      <c r="A859" t="s">
        <v>2184</v>
      </c>
      <c r="B859" t="s">
        <v>238</v>
      </c>
      <c r="C859">
        <v>1</v>
      </c>
      <c r="D859" s="1" t="s">
        <v>239</v>
      </c>
      <c r="E859" t="s">
        <v>2108</v>
      </c>
      <c r="F859">
        <v>1</v>
      </c>
      <c r="G859">
        <v>6</v>
      </c>
      <c r="H859" s="2" t="s">
        <v>493</v>
      </c>
    </row>
    <row r="860" spans="1:8" ht="102" x14ac:dyDescent="0.2">
      <c r="A860" t="s">
        <v>2184</v>
      </c>
      <c r="B860" t="s">
        <v>494</v>
      </c>
      <c r="C860">
        <v>1</v>
      </c>
      <c r="D860" s="1" t="s">
        <v>495</v>
      </c>
      <c r="E860" t="s">
        <v>2108</v>
      </c>
      <c r="F860">
        <v>1</v>
      </c>
      <c r="G860">
        <v>0</v>
      </c>
      <c r="H860" s="2" t="s">
        <v>496</v>
      </c>
    </row>
    <row r="861" spans="1:8" x14ac:dyDescent="0.2">
      <c r="A861" t="s">
        <v>2184</v>
      </c>
      <c r="B861" t="s">
        <v>497</v>
      </c>
      <c r="C861">
        <v>2</v>
      </c>
      <c r="D861" s="1" t="s">
        <v>498</v>
      </c>
      <c r="E861" t="s">
        <v>2187</v>
      </c>
      <c r="F861">
        <v>0</v>
      </c>
      <c r="G861">
        <v>0</v>
      </c>
    </row>
    <row r="862" spans="1:8" ht="102" x14ac:dyDescent="0.2">
      <c r="A862" t="s">
        <v>2184</v>
      </c>
      <c r="B862" t="s">
        <v>499</v>
      </c>
      <c r="C862">
        <v>1</v>
      </c>
      <c r="D862" s="1" t="s">
        <v>500</v>
      </c>
      <c r="E862" t="s">
        <v>2149</v>
      </c>
      <c r="F862">
        <v>1</v>
      </c>
      <c r="G862">
        <v>10</v>
      </c>
      <c r="H862" s="2" t="s">
        <v>501</v>
      </c>
    </row>
    <row r="863" spans="1:8" ht="25.5" x14ac:dyDescent="0.2">
      <c r="A863" t="s">
        <v>2184</v>
      </c>
      <c r="B863" t="s">
        <v>502</v>
      </c>
      <c r="C863">
        <v>2</v>
      </c>
      <c r="D863" s="1" t="s">
        <v>503</v>
      </c>
      <c r="E863" t="s">
        <v>2187</v>
      </c>
      <c r="F863">
        <v>0</v>
      </c>
      <c r="G863">
        <v>0</v>
      </c>
    </row>
    <row r="864" spans="1:8" ht="153" x14ac:dyDescent="0.2">
      <c r="A864" t="s">
        <v>2184</v>
      </c>
      <c r="B864" t="s">
        <v>504</v>
      </c>
      <c r="C864">
        <v>1</v>
      </c>
      <c r="D864" s="1" t="s">
        <v>505</v>
      </c>
      <c r="E864" t="s">
        <v>2149</v>
      </c>
      <c r="F864">
        <v>1</v>
      </c>
      <c r="G864">
        <v>8</v>
      </c>
      <c r="H864" s="2" t="s">
        <v>506</v>
      </c>
    </row>
    <row r="865" spans="1:8" ht="153" x14ac:dyDescent="0.2">
      <c r="A865" t="s">
        <v>2184</v>
      </c>
      <c r="B865" t="s">
        <v>507</v>
      </c>
      <c r="C865">
        <v>1</v>
      </c>
      <c r="D865" s="1" t="s">
        <v>508</v>
      </c>
      <c r="E865" t="s">
        <v>2149</v>
      </c>
      <c r="F865">
        <v>1</v>
      </c>
      <c r="G865">
        <v>10</v>
      </c>
      <c r="H865" s="2" t="s">
        <v>509</v>
      </c>
    </row>
    <row r="866" spans="1:8" ht="140.25" x14ac:dyDescent="0.2">
      <c r="A866" t="s">
        <v>2184</v>
      </c>
      <c r="B866" t="s">
        <v>510</v>
      </c>
      <c r="C866">
        <v>1</v>
      </c>
      <c r="D866" s="1" t="s">
        <v>511</v>
      </c>
      <c r="E866" t="s">
        <v>2149</v>
      </c>
      <c r="F866">
        <v>1</v>
      </c>
      <c r="G866">
        <v>8</v>
      </c>
      <c r="H866" s="2" t="s">
        <v>512</v>
      </c>
    </row>
    <row r="867" spans="1:8" ht="140.25" x14ac:dyDescent="0.2">
      <c r="A867" t="s">
        <v>2184</v>
      </c>
      <c r="B867" t="s">
        <v>513</v>
      </c>
      <c r="C867">
        <v>1</v>
      </c>
      <c r="D867" s="1" t="s">
        <v>514</v>
      </c>
      <c r="E867" t="s">
        <v>2149</v>
      </c>
      <c r="F867">
        <v>1</v>
      </c>
      <c r="G867">
        <v>10</v>
      </c>
      <c r="H867" s="2" t="s">
        <v>515</v>
      </c>
    </row>
    <row r="868" spans="1:8" ht="153" x14ac:dyDescent="0.2">
      <c r="A868" t="s">
        <v>2184</v>
      </c>
      <c r="B868" t="s">
        <v>516</v>
      </c>
      <c r="C868">
        <v>1</v>
      </c>
      <c r="D868" s="1" t="s">
        <v>517</v>
      </c>
      <c r="E868" t="s">
        <v>2149</v>
      </c>
      <c r="F868">
        <v>1</v>
      </c>
      <c r="G868">
        <v>30</v>
      </c>
      <c r="H868" s="2" t="s">
        <v>518</v>
      </c>
    </row>
    <row r="869" spans="1:8" x14ac:dyDescent="0.2">
      <c r="A869" t="s">
        <v>2184</v>
      </c>
      <c r="B869" t="s">
        <v>519</v>
      </c>
      <c r="C869">
        <v>2</v>
      </c>
      <c r="D869" s="1" t="s">
        <v>520</v>
      </c>
      <c r="E869" t="s">
        <v>2187</v>
      </c>
      <c r="F869">
        <v>0</v>
      </c>
      <c r="G869">
        <v>0</v>
      </c>
    </row>
    <row r="870" spans="1:8" ht="153" x14ac:dyDescent="0.2">
      <c r="A870" t="s">
        <v>2184</v>
      </c>
      <c r="B870" t="s">
        <v>521</v>
      </c>
      <c r="C870">
        <v>1</v>
      </c>
      <c r="D870" s="1" t="s">
        <v>12</v>
      </c>
      <c r="E870" t="s">
        <v>2149</v>
      </c>
      <c r="F870">
        <v>1</v>
      </c>
      <c r="G870">
        <v>20</v>
      </c>
      <c r="H870" s="2" t="s">
        <v>13</v>
      </c>
    </row>
    <row r="871" spans="1:8" ht="153" x14ac:dyDescent="0.2">
      <c r="A871" t="s">
        <v>2184</v>
      </c>
      <c r="B871" t="s">
        <v>14</v>
      </c>
      <c r="C871">
        <v>1</v>
      </c>
      <c r="D871" s="1" t="s">
        <v>15</v>
      </c>
      <c r="E871" t="s">
        <v>2149</v>
      </c>
      <c r="F871">
        <v>1</v>
      </c>
      <c r="G871">
        <v>10</v>
      </c>
      <c r="H871" s="2" t="s">
        <v>16</v>
      </c>
    </row>
    <row r="872" spans="1:8" x14ac:dyDescent="0.2">
      <c r="A872" t="s">
        <v>2184</v>
      </c>
      <c r="B872" t="s">
        <v>17</v>
      </c>
      <c r="C872">
        <v>2</v>
      </c>
      <c r="D872" s="1" t="s">
        <v>18</v>
      </c>
      <c r="E872" t="s">
        <v>2187</v>
      </c>
      <c r="F872">
        <v>0</v>
      </c>
      <c r="G872">
        <v>0</v>
      </c>
    </row>
    <row r="873" spans="1:8" ht="165.75" x14ac:dyDescent="0.2">
      <c r="A873" t="s">
        <v>2184</v>
      </c>
      <c r="B873" t="s">
        <v>19</v>
      </c>
      <c r="C873">
        <v>1</v>
      </c>
      <c r="D873" s="1" t="s">
        <v>20</v>
      </c>
      <c r="E873" t="s">
        <v>2149</v>
      </c>
      <c r="F873">
        <v>1</v>
      </c>
      <c r="G873">
        <v>10</v>
      </c>
      <c r="H873" s="2" t="s">
        <v>21</v>
      </c>
    </row>
    <row r="874" spans="1:8" ht="191.25" x14ac:dyDescent="0.2">
      <c r="A874" t="s">
        <v>2184</v>
      </c>
      <c r="B874" t="s">
        <v>22</v>
      </c>
      <c r="C874">
        <v>1</v>
      </c>
      <c r="D874" s="1" t="s">
        <v>23</v>
      </c>
      <c r="E874" t="s">
        <v>2149</v>
      </c>
      <c r="F874">
        <v>1</v>
      </c>
      <c r="G874">
        <v>30</v>
      </c>
      <c r="H874" s="2" t="s">
        <v>24</v>
      </c>
    </row>
    <row r="875" spans="1:8" ht="191.25" x14ac:dyDescent="0.2">
      <c r="A875" t="s">
        <v>2184</v>
      </c>
      <c r="B875" t="s">
        <v>25</v>
      </c>
      <c r="C875">
        <v>1</v>
      </c>
      <c r="D875" s="1" t="s">
        <v>26</v>
      </c>
      <c r="E875" t="s">
        <v>2108</v>
      </c>
      <c r="F875">
        <v>1</v>
      </c>
      <c r="G875">
        <v>40</v>
      </c>
      <c r="H875" s="2" t="s">
        <v>594</v>
      </c>
    </row>
    <row r="876" spans="1:8" ht="178.5" x14ac:dyDescent="0.2">
      <c r="A876" t="s">
        <v>2184</v>
      </c>
      <c r="B876" t="s">
        <v>595</v>
      </c>
      <c r="C876">
        <v>1</v>
      </c>
      <c r="D876" s="1" t="s">
        <v>596</v>
      </c>
      <c r="E876" t="s">
        <v>2108</v>
      </c>
      <c r="F876">
        <v>1</v>
      </c>
      <c r="G876">
        <v>50</v>
      </c>
      <c r="H876" s="2" t="s">
        <v>597</v>
      </c>
    </row>
    <row r="877" spans="1:8" ht="216.75" x14ac:dyDescent="0.2">
      <c r="A877" t="s">
        <v>2184</v>
      </c>
      <c r="B877" t="s">
        <v>598</v>
      </c>
      <c r="C877">
        <v>1</v>
      </c>
      <c r="D877" s="1" t="s">
        <v>599</v>
      </c>
      <c r="E877" t="s">
        <v>2108</v>
      </c>
      <c r="F877">
        <v>1</v>
      </c>
      <c r="G877">
        <v>50</v>
      </c>
      <c r="H877" s="2" t="s">
        <v>43</v>
      </c>
    </row>
    <row r="878" spans="1:8" x14ac:dyDescent="0.2">
      <c r="A878" t="s">
        <v>2184</v>
      </c>
      <c r="B878" t="s">
        <v>44</v>
      </c>
      <c r="C878">
        <v>2</v>
      </c>
      <c r="D878" s="1" t="s">
        <v>45</v>
      </c>
      <c r="E878" t="s">
        <v>2187</v>
      </c>
      <c r="F878">
        <v>0</v>
      </c>
      <c r="G878">
        <v>0</v>
      </c>
    </row>
    <row r="879" spans="1:8" ht="165.75" x14ac:dyDescent="0.2">
      <c r="A879" t="s">
        <v>2184</v>
      </c>
      <c r="B879" t="s">
        <v>46</v>
      </c>
      <c r="C879">
        <v>1</v>
      </c>
      <c r="D879" s="1" t="s">
        <v>47</v>
      </c>
      <c r="E879" t="s">
        <v>2149</v>
      </c>
      <c r="F879">
        <v>1</v>
      </c>
      <c r="G879">
        <v>0</v>
      </c>
      <c r="H879" s="2" t="s">
        <v>48</v>
      </c>
    </row>
    <row r="880" spans="1:8" x14ac:dyDescent="0.2">
      <c r="A880" t="s">
        <v>2184</v>
      </c>
      <c r="B880" t="s">
        <v>49</v>
      </c>
      <c r="C880">
        <v>2</v>
      </c>
      <c r="D880" s="1" t="s">
        <v>50</v>
      </c>
      <c r="E880" t="s">
        <v>2187</v>
      </c>
      <c r="F880">
        <v>0</v>
      </c>
      <c r="G880">
        <v>0</v>
      </c>
    </row>
    <row r="881" spans="1:8" ht="76.5" x14ac:dyDescent="0.2">
      <c r="A881" t="s">
        <v>2184</v>
      </c>
      <c r="B881" t="s">
        <v>51</v>
      </c>
      <c r="C881">
        <v>1</v>
      </c>
      <c r="D881" s="1" t="s">
        <v>52</v>
      </c>
      <c r="E881" t="s">
        <v>2192</v>
      </c>
      <c r="F881">
        <v>1</v>
      </c>
      <c r="G881">
        <v>500</v>
      </c>
      <c r="H881" s="1" t="s">
        <v>53</v>
      </c>
    </row>
    <row r="882" spans="1:8" ht="76.5" x14ac:dyDescent="0.2">
      <c r="A882" t="s">
        <v>2184</v>
      </c>
      <c r="B882" t="s">
        <v>54</v>
      </c>
      <c r="C882">
        <v>1</v>
      </c>
      <c r="D882" s="1" t="s">
        <v>55</v>
      </c>
      <c r="E882" t="s">
        <v>2192</v>
      </c>
      <c r="F882">
        <v>1</v>
      </c>
      <c r="G882">
        <v>300</v>
      </c>
      <c r="H882" s="1" t="s">
        <v>56</v>
      </c>
    </row>
  </sheetData>
  <phoneticPr fontId="2" type="noConversion"/>
  <pageMargins left="0.78740157499999996" right="0.78740157499999996" top="0.984251969" bottom="0.984251969" header="0.4921259845" footer="0.492125984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I542"/>
  <sheetViews>
    <sheetView tabSelected="1" workbookViewId="0">
      <pane ySplit="1605" activePane="bottomLeft"/>
      <selection activeCell="B1" sqref="B1"/>
      <selection pane="bottomLeft" activeCell="E307" sqref="E307"/>
    </sheetView>
  </sheetViews>
  <sheetFormatPr baseColWidth="10" defaultRowHeight="12.75" x14ac:dyDescent="0.2"/>
  <cols>
    <col min="1" max="1" width="14.42578125" style="4" customWidth="1"/>
    <col min="2" max="2" width="48.85546875" style="66" customWidth="1"/>
    <col min="3" max="3" width="7.42578125" style="6" customWidth="1"/>
    <col min="4" max="4" width="8" style="6" customWidth="1"/>
    <col min="5" max="5" width="9.42578125" style="7" customWidth="1"/>
    <col min="6" max="6" width="11.5703125" style="8" customWidth="1"/>
    <col min="7" max="7" width="9.85546875" style="9" customWidth="1"/>
    <col min="8" max="8" width="9.5703125" style="10" customWidth="1"/>
    <col min="9" max="9" width="9.85546875" style="8" customWidth="1"/>
  </cols>
  <sheetData>
    <row r="1" spans="1:9" s="3" customFormat="1" ht="67.5" customHeight="1" thickBot="1" x14ac:dyDescent="0.25">
      <c r="A1" s="49" t="s">
        <v>2177</v>
      </c>
      <c r="B1" s="62" t="s">
        <v>2179</v>
      </c>
      <c r="C1" s="50" t="s">
        <v>2180</v>
      </c>
      <c r="D1" s="51" t="s">
        <v>825</v>
      </c>
      <c r="E1" s="52" t="s">
        <v>219</v>
      </c>
      <c r="F1" s="53" t="s">
        <v>220</v>
      </c>
      <c r="G1" s="54" t="s">
        <v>221</v>
      </c>
      <c r="H1" s="55" t="s">
        <v>826</v>
      </c>
      <c r="I1" s="56" t="s">
        <v>827</v>
      </c>
    </row>
    <row r="2" spans="1:9" hidden="1" x14ac:dyDescent="0.2">
      <c r="A2" s="35" t="s">
        <v>2185</v>
      </c>
      <c r="B2" s="57" t="s">
        <v>2186</v>
      </c>
      <c r="C2" s="37" t="s">
        <v>2187</v>
      </c>
      <c r="D2" s="38"/>
      <c r="E2" s="11"/>
      <c r="F2" s="12"/>
      <c r="G2" s="13"/>
      <c r="H2" s="28"/>
      <c r="I2" s="29"/>
    </row>
    <row r="3" spans="1:9" s="5" customFormat="1" hidden="1" x14ac:dyDescent="0.2">
      <c r="A3" s="39" t="s">
        <v>2188</v>
      </c>
      <c r="B3" s="57" t="s">
        <v>2189</v>
      </c>
      <c r="C3" s="37" t="s">
        <v>2187</v>
      </c>
      <c r="D3" s="38"/>
      <c r="E3" s="11"/>
      <c r="F3" s="12"/>
      <c r="G3" s="14"/>
      <c r="H3" s="28"/>
      <c r="I3" s="29"/>
    </row>
    <row r="4" spans="1:9" s="5" customFormat="1" x14ac:dyDescent="0.2">
      <c r="A4" s="40" t="s">
        <v>2190</v>
      </c>
      <c r="B4" s="63" t="s">
        <v>2191</v>
      </c>
      <c r="C4" s="37" t="s">
        <v>2192</v>
      </c>
      <c r="D4" s="38">
        <v>1</v>
      </c>
      <c r="E4" s="15">
        <v>0</v>
      </c>
      <c r="F4" s="12">
        <v>0</v>
      </c>
      <c r="G4" s="14">
        <f>F4+E4</f>
        <v>0</v>
      </c>
      <c r="H4" s="28">
        <f>IF(ISBLANK(#REF!),"",D4*G4)</f>
        <v>0</v>
      </c>
      <c r="I4" s="29">
        <f>IF(ISBLANK(#REF!),"",E4*D4)</f>
        <v>0</v>
      </c>
    </row>
    <row r="5" spans="1:9" s="5" customFormat="1" hidden="1" x14ac:dyDescent="0.2">
      <c r="A5" s="39" t="s">
        <v>2104</v>
      </c>
      <c r="B5" s="57" t="s">
        <v>2105</v>
      </c>
      <c r="C5" s="37" t="s">
        <v>2187</v>
      </c>
      <c r="D5" s="38"/>
      <c r="E5" s="11"/>
      <c r="F5" s="12"/>
      <c r="G5" s="14"/>
      <c r="H5" s="28"/>
      <c r="I5" s="29">
        <f>IF(ISBLANK(#REF!),"",E5*D5)</f>
        <v>0</v>
      </c>
    </row>
    <row r="6" spans="1:9" s="5" customFormat="1" x14ac:dyDescent="0.2">
      <c r="A6" s="40" t="s">
        <v>2106</v>
      </c>
      <c r="B6" s="63" t="s">
        <v>2107</v>
      </c>
      <c r="C6" s="37" t="s">
        <v>2108</v>
      </c>
      <c r="D6" s="38">
        <v>1</v>
      </c>
      <c r="E6" s="15">
        <v>50</v>
      </c>
      <c r="F6" s="12">
        <v>70</v>
      </c>
      <c r="G6" s="14">
        <f>F6+E6</f>
        <v>120</v>
      </c>
      <c r="H6" s="28">
        <f>IF(ISBLANK(#REF!),"",D6*G6)</f>
        <v>120</v>
      </c>
      <c r="I6" s="29">
        <f>IF(ISBLANK(#REF!),"",E6*D6)</f>
        <v>50</v>
      </c>
    </row>
    <row r="7" spans="1:9" s="5" customFormat="1" hidden="1" x14ac:dyDescent="0.2">
      <c r="A7" s="39" t="s">
        <v>2197</v>
      </c>
      <c r="B7" s="57" t="s">
        <v>2198</v>
      </c>
      <c r="C7" s="37" t="s">
        <v>2187</v>
      </c>
      <c r="D7" s="38"/>
      <c r="E7" s="11"/>
      <c r="F7" s="12"/>
      <c r="G7" s="14"/>
      <c r="H7" s="28"/>
      <c r="I7" s="29">
        <f>IF(ISBLANK(#REF!),"",E7*D7)</f>
        <v>0</v>
      </c>
    </row>
    <row r="8" spans="1:9" s="5" customFormat="1" ht="25.5" x14ac:dyDescent="0.2">
      <c r="A8" s="40" t="s">
        <v>2199</v>
      </c>
      <c r="B8" s="63" t="s">
        <v>2200</v>
      </c>
      <c r="C8" s="37" t="s">
        <v>2108</v>
      </c>
      <c r="D8" s="38">
        <v>1</v>
      </c>
      <c r="E8" s="15">
        <v>20</v>
      </c>
      <c r="F8" s="12">
        <v>10</v>
      </c>
      <c r="G8" s="14">
        <f>F8+E8</f>
        <v>30</v>
      </c>
      <c r="H8" s="28">
        <f>IF(ISBLANK(#REF!),"",D8*G8)</f>
        <v>30</v>
      </c>
      <c r="I8" s="29">
        <f>IF(ISBLANK(#REF!),"",E8*D8)</f>
        <v>20</v>
      </c>
    </row>
    <row r="9" spans="1:9" hidden="1" x14ac:dyDescent="0.2">
      <c r="A9" s="39" t="s">
        <v>2516</v>
      </c>
      <c r="B9" s="57" t="s">
        <v>2517</v>
      </c>
      <c r="C9" s="37" t="s">
        <v>2187</v>
      </c>
      <c r="D9" s="38"/>
      <c r="E9" s="11"/>
      <c r="F9" s="12"/>
      <c r="G9" s="14"/>
      <c r="H9" s="28"/>
      <c r="I9" s="29">
        <f>IF(ISBLANK(#REF!),"",E9*D9)</f>
        <v>0</v>
      </c>
    </row>
    <row r="10" spans="1:9" x14ac:dyDescent="0.2">
      <c r="A10" s="40" t="s">
        <v>2518</v>
      </c>
      <c r="B10" s="63" t="s">
        <v>2519</v>
      </c>
      <c r="C10" s="37" t="s">
        <v>2192</v>
      </c>
      <c r="D10" s="38">
        <v>1</v>
      </c>
      <c r="E10" s="15">
        <v>300</v>
      </c>
      <c r="F10" s="12">
        <v>1080</v>
      </c>
      <c r="G10" s="14">
        <f>F10+E10</f>
        <v>1380</v>
      </c>
      <c r="H10" s="28">
        <f>IF(ISBLANK(#REF!),"",D10*G10)</f>
        <v>1380</v>
      </c>
      <c r="I10" s="29">
        <f>IF(ISBLANK(#REF!),"",E10*D10)</f>
        <v>300</v>
      </c>
    </row>
    <row r="11" spans="1:9" hidden="1" x14ac:dyDescent="0.2">
      <c r="A11" s="35" t="s">
        <v>2521</v>
      </c>
      <c r="B11" s="57" t="s">
        <v>2522</v>
      </c>
      <c r="C11" s="37" t="s">
        <v>2187</v>
      </c>
      <c r="D11" s="38"/>
      <c r="E11" s="11"/>
      <c r="F11" s="12"/>
      <c r="G11" s="14"/>
      <c r="H11" s="28"/>
      <c r="I11" s="29"/>
    </row>
    <row r="12" spans="1:9" ht="38.25" hidden="1" x14ac:dyDescent="0.2">
      <c r="A12" s="39" t="s">
        <v>2523</v>
      </c>
      <c r="B12" s="57" t="s">
        <v>2524</v>
      </c>
      <c r="C12" s="37" t="s">
        <v>2187</v>
      </c>
      <c r="D12" s="38"/>
      <c r="E12" s="11"/>
      <c r="F12" s="12"/>
      <c r="G12" s="14"/>
      <c r="H12" s="28"/>
      <c r="I12" s="29"/>
    </row>
    <row r="13" spans="1:9" hidden="1" x14ac:dyDescent="0.2">
      <c r="A13" s="41" t="s">
        <v>2525</v>
      </c>
      <c r="B13" s="57" t="s">
        <v>2526</v>
      </c>
      <c r="C13" s="37" t="s">
        <v>2187</v>
      </c>
      <c r="D13" s="38"/>
      <c r="E13" s="11"/>
      <c r="F13" s="12"/>
      <c r="G13" s="14"/>
      <c r="H13" s="28"/>
      <c r="I13" s="29"/>
    </row>
    <row r="14" spans="1:9" ht="25.5" x14ac:dyDescent="0.2">
      <c r="A14" s="42" t="s">
        <v>2530</v>
      </c>
      <c r="B14" s="63" t="s">
        <v>2531</v>
      </c>
      <c r="C14" s="37" t="s">
        <v>522</v>
      </c>
      <c r="D14" s="38">
        <v>1</v>
      </c>
      <c r="E14" s="15">
        <v>17</v>
      </c>
      <c r="F14" s="12">
        <v>15</v>
      </c>
      <c r="G14" s="14">
        <f>F14+E14</f>
        <v>32</v>
      </c>
      <c r="H14" s="28">
        <f>IF(ISBLANK(#REF!),"",D14*G14)</f>
        <v>32</v>
      </c>
      <c r="I14" s="29">
        <f>IF(ISBLANK(#REF!),"",E14*D14)</f>
        <v>17</v>
      </c>
    </row>
    <row r="15" spans="1:9" hidden="1" x14ac:dyDescent="0.2">
      <c r="A15" s="41" t="s">
        <v>1585</v>
      </c>
      <c r="B15" s="57" t="s">
        <v>1586</v>
      </c>
      <c r="C15" s="37" t="s">
        <v>2187</v>
      </c>
      <c r="D15" s="38"/>
      <c r="E15" s="11"/>
      <c r="F15" s="12"/>
      <c r="G15" s="14"/>
      <c r="H15" s="28"/>
      <c r="I15" s="29"/>
    </row>
    <row r="16" spans="1:9" x14ac:dyDescent="0.2">
      <c r="A16" s="40" t="s">
        <v>1587</v>
      </c>
      <c r="B16" s="63" t="s">
        <v>1965</v>
      </c>
      <c r="C16" s="37" t="s">
        <v>522</v>
      </c>
      <c r="D16" s="38">
        <v>1</v>
      </c>
      <c r="E16" s="15">
        <v>22</v>
      </c>
      <c r="F16" s="12">
        <v>15</v>
      </c>
      <c r="G16" s="14">
        <f>F16+E16</f>
        <v>37</v>
      </c>
      <c r="H16" s="28">
        <f>IF(ISBLANK(#REF!),"",D16*G16)</f>
        <v>37</v>
      </c>
      <c r="I16" s="29">
        <f>IF(ISBLANK(#REF!),"",E16*D16)</f>
        <v>22</v>
      </c>
    </row>
    <row r="17" spans="1:9" hidden="1" x14ac:dyDescent="0.2">
      <c r="A17" s="41" t="s">
        <v>1590</v>
      </c>
      <c r="B17" s="57" t="s">
        <v>1955</v>
      </c>
      <c r="C17" s="37" t="s">
        <v>2187</v>
      </c>
      <c r="D17" s="38"/>
      <c r="E17" s="11"/>
      <c r="F17" s="12"/>
      <c r="G17" s="14"/>
      <c r="H17" s="28"/>
      <c r="I17" s="29"/>
    </row>
    <row r="18" spans="1:9" ht="25.5" x14ac:dyDescent="0.2">
      <c r="A18" s="42" t="s">
        <v>1595</v>
      </c>
      <c r="B18" s="63" t="s">
        <v>1596</v>
      </c>
      <c r="C18" s="37" t="s">
        <v>522</v>
      </c>
      <c r="D18" s="38">
        <v>1</v>
      </c>
      <c r="E18" s="15">
        <v>17</v>
      </c>
      <c r="F18" s="12">
        <v>15</v>
      </c>
      <c r="G18" s="14">
        <f>F18+E18</f>
        <v>32</v>
      </c>
      <c r="H18" s="28">
        <f>IF(ISBLANK(#REF!),"",D18*G18)</f>
        <v>32</v>
      </c>
      <c r="I18" s="29">
        <f>IF(ISBLANK(#REF!),"",E18*D18)</f>
        <v>17</v>
      </c>
    </row>
    <row r="19" spans="1:9" hidden="1" x14ac:dyDescent="0.2">
      <c r="A19" s="41" t="s">
        <v>1822</v>
      </c>
      <c r="B19" s="57" t="s">
        <v>1823</v>
      </c>
      <c r="C19" s="37" t="s">
        <v>2187</v>
      </c>
      <c r="D19" s="38"/>
      <c r="E19" s="11"/>
      <c r="F19" s="12"/>
      <c r="G19" s="14"/>
      <c r="H19" s="28"/>
      <c r="I19" s="29"/>
    </row>
    <row r="20" spans="1:9" ht="25.5" x14ac:dyDescent="0.2">
      <c r="A20" s="42" t="s">
        <v>2308</v>
      </c>
      <c r="B20" s="63" t="s">
        <v>2309</v>
      </c>
      <c r="C20" s="37" t="s">
        <v>1966</v>
      </c>
      <c r="D20" s="38">
        <v>1</v>
      </c>
      <c r="E20" s="15">
        <v>2</v>
      </c>
      <c r="F20" s="12">
        <v>2.5</v>
      </c>
      <c r="G20" s="14">
        <f>F20+E20</f>
        <v>4.5</v>
      </c>
      <c r="H20" s="28">
        <f>IF(ISBLANK(#REF!),"",D20*G20)</f>
        <v>4.5</v>
      </c>
      <c r="I20" s="29">
        <f>IF(ISBLANK(#REF!),"",E20*D20)</f>
        <v>2</v>
      </c>
    </row>
    <row r="21" spans="1:9" ht="25.5" hidden="1" x14ac:dyDescent="0.2">
      <c r="A21" s="41" t="s">
        <v>2316</v>
      </c>
      <c r="B21" s="57" t="s">
        <v>2317</v>
      </c>
      <c r="C21" s="37" t="s">
        <v>2187</v>
      </c>
      <c r="D21" s="38"/>
      <c r="E21" s="11"/>
      <c r="F21" s="12"/>
      <c r="G21" s="14"/>
      <c r="H21" s="28"/>
      <c r="I21" s="29"/>
    </row>
    <row r="22" spans="1:9" ht="25.5" x14ac:dyDescent="0.2">
      <c r="A22" s="42" t="s">
        <v>1828</v>
      </c>
      <c r="B22" s="63" t="s">
        <v>1829</v>
      </c>
      <c r="C22" s="37" t="s">
        <v>1966</v>
      </c>
      <c r="D22" s="38">
        <v>1</v>
      </c>
      <c r="E22" s="15">
        <v>2</v>
      </c>
      <c r="F22" s="12">
        <v>2.5</v>
      </c>
      <c r="G22" s="14">
        <f>F22+E22</f>
        <v>4.5</v>
      </c>
      <c r="H22" s="28">
        <f>IF(ISBLANK(#REF!),"",D22*G22)</f>
        <v>4.5</v>
      </c>
      <c r="I22" s="29">
        <f>IF(ISBLANK(#REF!),"",E22*D22)</f>
        <v>2</v>
      </c>
    </row>
    <row r="23" spans="1:9" ht="25.5" hidden="1" x14ac:dyDescent="0.2">
      <c r="A23" s="41" t="s">
        <v>2135</v>
      </c>
      <c r="B23" s="57" t="s">
        <v>1526</v>
      </c>
      <c r="C23" s="37" t="s">
        <v>2187</v>
      </c>
      <c r="D23" s="38"/>
      <c r="E23" s="11"/>
      <c r="F23" s="12"/>
      <c r="G23" s="14"/>
      <c r="H23" s="28"/>
      <c r="I23" s="29"/>
    </row>
    <row r="24" spans="1:9" ht="63.75" x14ac:dyDescent="0.2">
      <c r="A24" s="42" t="s">
        <v>2137</v>
      </c>
      <c r="B24" s="63" t="s">
        <v>2138</v>
      </c>
      <c r="C24" s="37" t="s">
        <v>1967</v>
      </c>
      <c r="D24" s="38">
        <v>1</v>
      </c>
      <c r="E24" s="15">
        <v>2</v>
      </c>
      <c r="F24" s="12">
        <v>10</v>
      </c>
      <c r="G24" s="14">
        <f>F24+E24</f>
        <v>12</v>
      </c>
      <c r="H24" s="28">
        <f>IF(ISBLANK(#REF!),"",D24*G24)</f>
        <v>12</v>
      </c>
      <c r="I24" s="29">
        <f>IF(ISBLANK(#REF!),"",E24*D24)</f>
        <v>2</v>
      </c>
    </row>
    <row r="25" spans="1:9" hidden="1" x14ac:dyDescent="0.2">
      <c r="A25" s="39" t="s">
        <v>2145</v>
      </c>
      <c r="B25" s="57" t="s">
        <v>2146</v>
      </c>
      <c r="C25" s="37" t="s">
        <v>2187</v>
      </c>
      <c r="D25" s="38"/>
      <c r="E25" s="11"/>
      <c r="F25" s="12"/>
      <c r="G25" s="14"/>
      <c r="H25" s="28"/>
      <c r="I25" s="29"/>
    </row>
    <row r="26" spans="1:9" x14ac:dyDescent="0.2">
      <c r="A26" s="42" t="s">
        <v>2147</v>
      </c>
      <c r="B26" s="63" t="s">
        <v>2148</v>
      </c>
      <c r="C26" s="37" t="s">
        <v>2149</v>
      </c>
      <c r="D26" s="38">
        <v>1</v>
      </c>
      <c r="E26" s="15">
        <v>0</v>
      </c>
      <c r="F26" s="12">
        <v>0</v>
      </c>
      <c r="G26" s="14">
        <f>F26+E26</f>
        <v>0</v>
      </c>
      <c r="H26" s="28">
        <f>IF(ISBLANK(#REF!),"",D26*G26)</f>
        <v>0</v>
      </c>
      <c r="I26" s="29">
        <f>IF(ISBLANK(#REF!),"",E26*D26)</f>
        <v>0</v>
      </c>
    </row>
    <row r="27" spans="1:9" hidden="1" x14ac:dyDescent="0.2">
      <c r="A27" s="39" t="s">
        <v>1697</v>
      </c>
      <c r="B27" s="57" t="s">
        <v>1698</v>
      </c>
      <c r="C27" s="37" t="s">
        <v>2187</v>
      </c>
      <c r="D27" s="38"/>
      <c r="E27" s="11"/>
      <c r="F27" s="12"/>
      <c r="G27" s="14"/>
      <c r="H27" s="28"/>
      <c r="I27" s="29"/>
    </row>
    <row r="28" spans="1:9" ht="25.5" hidden="1" x14ac:dyDescent="0.2">
      <c r="A28" s="41" t="s">
        <v>1699</v>
      </c>
      <c r="B28" s="57" t="s">
        <v>1700</v>
      </c>
      <c r="C28" s="37" t="s">
        <v>2187</v>
      </c>
      <c r="D28" s="38"/>
      <c r="E28" s="11"/>
      <c r="F28" s="12"/>
      <c r="G28" s="14"/>
      <c r="H28" s="28"/>
      <c r="I28" s="29"/>
    </row>
    <row r="29" spans="1:9" x14ac:dyDescent="0.2">
      <c r="A29" s="42" t="s">
        <v>1701</v>
      </c>
      <c r="B29" s="63" t="s">
        <v>1702</v>
      </c>
      <c r="C29" s="37" t="s">
        <v>2108</v>
      </c>
      <c r="D29" s="38">
        <v>1</v>
      </c>
      <c r="E29" s="15">
        <v>0</v>
      </c>
      <c r="F29" s="12">
        <v>0</v>
      </c>
      <c r="G29" s="14">
        <f>F29+E29</f>
        <v>0</v>
      </c>
      <c r="H29" s="28">
        <f>IF(ISBLANK(#REF!),"",D29*G29)</f>
        <v>0</v>
      </c>
      <c r="I29" s="29">
        <f>IF(ISBLANK(#REF!),"",E29*D29)</f>
        <v>0</v>
      </c>
    </row>
    <row r="30" spans="1:9" ht="25.5" hidden="1" x14ac:dyDescent="0.2">
      <c r="A30" s="41" t="s">
        <v>2488</v>
      </c>
      <c r="B30" s="57" t="s">
        <v>2489</v>
      </c>
      <c r="C30" s="37" t="s">
        <v>2187</v>
      </c>
      <c r="D30" s="38"/>
      <c r="E30" s="11"/>
      <c r="F30" s="12"/>
      <c r="G30" s="14"/>
      <c r="H30" s="28"/>
      <c r="I30" s="29"/>
    </row>
    <row r="31" spans="1:9" ht="38.25" x14ac:dyDescent="0.2">
      <c r="A31" s="40" t="s">
        <v>2490</v>
      </c>
      <c r="B31" s="63" t="s">
        <v>159</v>
      </c>
      <c r="C31" s="37" t="s">
        <v>2108</v>
      </c>
      <c r="D31" s="38">
        <v>1</v>
      </c>
      <c r="E31" s="15">
        <v>0</v>
      </c>
      <c r="F31" s="12">
        <v>0</v>
      </c>
      <c r="G31" s="14">
        <f>F31+E31</f>
        <v>0</v>
      </c>
      <c r="H31" s="28">
        <f>IF(ISBLANK(#REF!),"",D31*G31)</f>
        <v>0</v>
      </c>
      <c r="I31" s="29">
        <f>IF(ISBLANK(#REF!),"",E31*D31)</f>
        <v>0</v>
      </c>
    </row>
    <row r="32" spans="1:9" ht="38.25" x14ac:dyDescent="0.2">
      <c r="A32" s="40" t="s">
        <v>2496</v>
      </c>
      <c r="B32" s="63" t="s">
        <v>160</v>
      </c>
      <c r="C32" s="37" t="s">
        <v>2108</v>
      </c>
      <c r="D32" s="38">
        <v>1</v>
      </c>
      <c r="E32" s="15">
        <v>0</v>
      </c>
      <c r="F32" s="12">
        <v>0</v>
      </c>
      <c r="G32" s="14">
        <f>F32+E32</f>
        <v>0</v>
      </c>
      <c r="H32" s="28">
        <f>IF(ISBLANK(#REF!),"",D32*G32)</f>
        <v>0</v>
      </c>
      <c r="I32" s="29">
        <f>IF(ISBLANK(#REF!),"",E32*D32)</f>
        <v>0</v>
      </c>
    </row>
    <row r="33" spans="1:9" ht="38.25" hidden="1" x14ac:dyDescent="0.2">
      <c r="A33" s="41" t="s">
        <v>2419</v>
      </c>
      <c r="B33" s="57" t="s">
        <v>2420</v>
      </c>
      <c r="C33" s="37" t="s">
        <v>2187</v>
      </c>
      <c r="D33" s="38"/>
      <c r="E33" s="11"/>
      <c r="F33" s="12"/>
      <c r="G33" s="14"/>
      <c r="H33" s="28"/>
      <c r="I33" s="29"/>
    </row>
    <row r="34" spans="1:9" ht="27" customHeight="1" x14ac:dyDescent="0.2">
      <c r="A34" s="40" t="s">
        <v>2421</v>
      </c>
      <c r="B34" s="63" t="s">
        <v>161</v>
      </c>
      <c r="C34" s="37" t="s">
        <v>2108</v>
      </c>
      <c r="D34" s="38">
        <v>1</v>
      </c>
      <c r="E34" s="15">
        <v>0</v>
      </c>
      <c r="F34" s="12">
        <v>0</v>
      </c>
      <c r="G34" s="14">
        <f>F34+E34</f>
        <v>0</v>
      </c>
      <c r="H34" s="28">
        <f>IF(ISBLANK(#REF!),"",D34*G34)</f>
        <v>0</v>
      </c>
      <c r="I34" s="29">
        <f>IF(ISBLANK(#REF!),"",E34*D34)</f>
        <v>0</v>
      </c>
    </row>
    <row r="35" spans="1:9" ht="29.25" customHeight="1" x14ac:dyDescent="0.2">
      <c r="A35" s="40" t="s">
        <v>2427</v>
      </c>
      <c r="B35" s="63" t="s">
        <v>162</v>
      </c>
      <c r="C35" s="37" t="s">
        <v>2108</v>
      </c>
      <c r="D35" s="38">
        <v>1</v>
      </c>
      <c r="E35" s="15">
        <v>0</v>
      </c>
      <c r="F35" s="12">
        <v>0</v>
      </c>
      <c r="G35" s="14">
        <f>F35+E35</f>
        <v>0</v>
      </c>
      <c r="H35" s="28">
        <f>IF(ISBLANK(#REF!),"",D35*G35)</f>
        <v>0</v>
      </c>
      <c r="I35" s="29">
        <f>IF(ISBLANK(#REF!),"",E35*D35)</f>
        <v>0</v>
      </c>
    </row>
    <row r="36" spans="1:9" ht="28.5" hidden="1" customHeight="1" x14ac:dyDescent="0.2">
      <c r="A36" s="40" t="s">
        <v>2430</v>
      </c>
      <c r="B36" s="58" t="s">
        <v>163</v>
      </c>
      <c r="C36" s="37" t="s">
        <v>2108</v>
      </c>
      <c r="D36" s="38">
        <v>1</v>
      </c>
      <c r="E36" s="15">
        <v>0</v>
      </c>
      <c r="F36" s="12">
        <v>0</v>
      </c>
      <c r="G36" s="14">
        <f>F36+E36</f>
        <v>0</v>
      </c>
      <c r="H36" s="30"/>
      <c r="I36" s="19"/>
    </row>
    <row r="37" spans="1:9" hidden="1" x14ac:dyDescent="0.2">
      <c r="A37" s="41" t="s">
        <v>1811</v>
      </c>
      <c r="B37" s="57" t="s">
        <v>1812</v>
      </c>
      <c r="C37" s="37" t="s">
        <v>2187</v>
      </c>
      <c r="D37" s="38"/>
      <c r="E37" s="11"/>
      <c r="F37" s="12"/>
      <c r="G37" s="14"/>
      <c r="H37" s="28"/>
      <c r="I37" s="29"/>
    </row>
    <row r="38" spans="1:9" ht="25.5" x14ac:dyDescent="0.2">
      <c r="A38" s="42" t="s">
        <v>1432</v>
      </c>
      <c r="B38" s="63" t="s">
        <v>2545</v>
      </c>
      <c r="C38" s="37" t="s">
        <v>2108</v>
      </c>
      <c r="D38" s="38">
        <v>1</v>
      </c>
      <c r="E38" s="15">
        <v>20</v>
      </c>
      <c r="F38" s="12">
        <v>7</v>
      </c>
      <c r="G38" s="14">
        <f>F38+E38</f>
        <v>27</v>
      </c>
      <c r="H38" s="28">
        <f>IF(ISBLANK(#REF!),"",D38*G38)</f>
        <v>27</v>
      </c>
      <c r="I38" s="29">
        <f>IF(ISBLANK(#REF!),"",E38*D38)</f>
        <v>20</v>
      </c>
    </row>
    <row r="39" spans="1:9" ht="25.5" x14ac:dyDescent="0.2">
      <c r="A39" s="42" t="s">
        <v>2466</v>
      </c>
      <c r="B39" s="63" t="s">
        <v>2546</v>
      </c>
      <c r="C39" s="37" t="s">
        <v>2108</v>
      </c>
      <c r="D39" s="38">
        <v>1</v>
      </c>
      <c r="E39" s="15">
        <v>30</v>
      </c>
      <c r="F39" s="12">
        <v>7</v>
      </c>
      <c r="G39" s="14">
        <f>F39+E39</f>
        <v>37</v>
      </c>
      <c r="H39" s="28">
        <f>IF(ISBLANK(#REF!),"",D39*G39)</f>
        <v>37</v>
      </c>
      <c r="I39" s="29">
        <f>IF(ISBLANK(#REF!),"",E39*D39)</f>
        <v>30</v>
      </c>
    </row>
    <row r="40" spans="1:9" hidden="1" x14ac:dyDescent="0.2">
      <c r="A40" s="39" t="s">
        <v>1920</v>
      </c>
      <c r="B40" s="57" t="s">
        <v>1921</v>
      </c>
      <c r="C40" s="37" t="s">
        <v>2187</v>
      </c>
      <c r="D40" s="38"/>
      <c r="E40" s="11"/>
      <c r="F40" s="12"/>
      <c r="G40" s="14"/>
      <c r="H40" s="28"/>
      <c r="I40" s="29"/>
    </row>
    <row r="41" spans="1:9" ht="51" hidden="1" x14ac:dyDescent="0.2">
      <c r="A41" s="41" t="s">
        <v>1922</v>
      </c>
      <c r="B41" s="57" t="s">
        <v>1923</v>
      </c>
      <c r="C41" s="37" t="s">
        <v>2187</v>
      </c>
      <c r="D41" s="38"/>
      <c r="E41" s="11"/>
      <c r="F41" s="12"/>
      <c r="G41" s="14"/>
      <c r="H41" s="28"/>
      <c r="I41" s="29"/>
    </row>
    <row r="42" spans="1:9" ht="25.5" x14ac:dyDescent="0.2">
      <c r="A42" s="40" t="s">
        <v>1924</v>
      </c>
      <c r="B42" s="63" t="s">
        <v>1925</v>
      </c>
      <c r="C42" s="37" t="s">
        <v>2149</v>
      </c>
      <c r="D42" s="38">
        <v>1</v>
      </c>
      <c r="E42" s="15">
        <v>0.05</v>
      </c>
      <c r="F42" s="16">
        <v>0.8</v>
      </c>
      <c r="G42" s="14">
        <f>F42+E42</f>
        <v>0.85000000000000009</v>
      </c>
      <c r="H42" s="28">
        <f>IF(ISBLANK(#REF!),"",D42*G42)</f>
        <v>0.85000000000000009</v>
      </c>
      <c r="I42" s="29">
        <f>IF(ISBLANK(#REF!),"",E42*D42)</f>
        <v>0.05</v>
      </c>
    </row>
    <row r="43" spans="1:9" ht="25.5" x14ac:dyDescent="0.2">
      <c r="A43" s="40" t="s">
        <v>1927</v>
      </c>
      <c r="B43" s="63" t="s">
        <v>1928</v>
      </c>
      <c r="C43" s="37" t="s">
        <v>2149</v>
      </c>
      <c r="D43" s="38">
        <v>1</v>
      </c>
      <c r="E43" s="15">
        <v>0.2</v>
      </c>
      <c r="F43" s="16">
        <v>0.02</v>
      </c>
      <c r="G43" s="14">
        <f>F43+E43</f>
        <v>0.22</v>
      </c>
      <c r="H43" s="28">
        <f>IF(ISBLANK(#REF!),"",D43*G43)</f>
        <v>0.22</v>
      </c>
      <c r="I43" s="29">
        <f>IF(ISBLANK(#REF!),"",E43*D43)</f>
        <v>0.2</v>
      </c>
    </row>
    <row r="44" spans="1:9" hidden="1" x14ac:dyDescent="0.2">
      <c r="A44" s="41" t="s">
        <v>1930</v>
      </c>
      <c r="B44" s="57" t="s">
        <v>1931</v>
      </c>
      <c r="C44" s="37" t="s">
        <v>2187</v>
      </c>
      <c r="D44" s="38"/>
      <c r="E44" s="11"/>
      <c r="F44" s="12"/>
      <c r="G44" s="14"/>
      <c r="H44" s="28"/>
      <c r="I44" s="29"/>
    </row>
    <row r="45" spans="1:9" ht="25.5" x14ac:dyDescent="0.2">
      <c r="A45" s="40" t="s">
        <v>1932</v>
      </c>
      <c r="B45" s="63" t="s">
        <v>87</v>
      </c>
      <c r="C45" s="37" t="s">
        <v>2149</v>
      </c>
      <c r="D45" s="38">
        <v>1</v>
      </c>
      <c r="E45" s="15">
        <v>0.05</v>
      </c>
      <c r="F45" s="12">
        <v>1.5</v>
      </c>
      <c r="G45" s="14">
        <f>F45+E45</f>
        <v>1.55</v>
      </c>
      <c r="H45" s="28">
        <f>IF(ISBLANK(#REF!),"",D45*G45)</f>
        <v>1.55</v>
      </c>
      <c r="I45" s="29">
        <f>IF(ISBLANK(#REF!),"",E45*D45)</f>
        <v>0.05</v>
      </c>
    </row>
    <row r="46" spans="1:9" hidden="1" x14ac:dyDescent="0.2">
      <c r="A46" s="41" t="s">
        <v>1935</v>
      </c>
      <c r="B46" s="57" t="s">
        <v>1936</v>
      </c>
      <c r="C46" s="37" t="s">
        <v>2187</v>
      </c>
      <c r="D46" s="38"/>
      <c r="E46" s="11"/>
      <c r="F46" s="12"/>
      <c r="G46" s="14"/>
      <c r="H46" s="28"/>
      <c r="I46" s="29"/>
    </row>
    <row r="47" spans="1:9" x14ac:dyDescent="0.2">
      <c r="A47" s="40" t="s">
        <v>1937</v>
      </c>
      <c r="B47" s="63" t="s">
        <v>1968</v>
      </c>
      <c r="C47" s="37" t="s">
        <v>522</v>
      </c>
      <c r="D47" s="38">
        <v>1</v>
      </c>
      <c r="E47" s="15">
        <v>22</v>
      </c>
      <c r="F47" s="12">
        <v>15</v>
      </c>
      <c r="G47" s="14">
        <f>F47+E47</f>
        <v>37</v>
      </c>
      <c r="H47" s="28">
        <f>IF(ISBLANK(#REF!),"",D47*G47)</f>
        <v>37</v>
      </c>
      <c r="I47" s="29">
        <f>IF(ISBLANK(#REF!),"",E47*D47)</f>
        <v>22</v>
      </c>
    </row>
    <row r="48" spans="1:9" hidden="1" x14ac:dyDescent="0.2">
      <c r="A48" s="39" t="s">
        <v>1940</v>
      </c>
      <c r="B48" s="57" t="s">
        <v>1941</v>
      </c>
      <c r="C48" s="37" t="s">
        <v>2187</v>
      </c>
      <c r="D48" s="38"/>
      <c r="E48" s="11"/>
      <c r="F48" s="12"/>
      <c r="G48" s="14"/>
      <c r="H48" s="28"/>
      <c r="I48" s="29"/>
    </row>
    <row r="49" spans="1:9" hidden="1" x14ac:dyDescent="0.2">
      <c r="A49" s="41" t="s">
        <v>1942</v>
      </c>
      <c r="B49" s="57" t="s">
        <v>1969</v>
      </c>
      <c r="C49" s="37" t="s">
        <v>2187</v>
      </c>
      <c r="D49" s="38"/>
      <c r="E49" s="11"/>
      <c r="F49" s="12"/>
      <c r="G49" s="14"/>
      <c r="H49" s="28"/>
      <c r="I49" s="29"/>
    </row>
    <row r="50" spans="1:9" ht="25.5" x14ac:dyDescent="0.2">
      <c r="A50" s="40" t="s">
        <v>1944</v>
      </c>
      <c r="B50" s="63" t="s">
        <v>208</v>
      </c>
      <c r="C50" s="37" t="s">
        <v>1946</v>
      </c>
      <c r="D50" s="38">
        <v>1</v>
      </c>
      <c r="E50" s="15">
        <v>2</v>
      </c>
      <c r="F50" s="12">
        <v>4</v>
      </c>
      <c r="G50" s="14">
        <f>F50+E50</f>
        <v>6</v>
      </c>
      <c r="H50" s="28">
        <f>IF(ISBLANK(#REF!),"",D50*G50)</f>
        <v>6</v>
      </c>
      <c r="I50" s="29">
        <f>IF(ISBLANK(#REF!),"",E50*D50)</f>
        <v>2</v>
      </c>
    </row>
    <row r="51" spans="1:9" ht="25.5" x14ac:dyDescent="0.2">
      <c r="A51" s="40" t="s">
        <v>1948</v>
      </c>
      <c r="B51" s="63" t="s">
        <v>209</v>
      </c>
      <c r="C51" s="37" t="s">
        <v>1946</v>
      </c>
      <c r="D51" s="38">
        <v>1</v>
      </c>
      <c r="E51" s="15">
        <v>6</v>
      </c>
      <c r="F51" s="12">
        <v>4</v>
      </c>
      <c r="G51" s="14">
        <f>F51+E51</f>
        <v>10</v>
      </c>
      <c r="H51" s="28">
        <f>IF(ISBLANK(#REF!),"",D51*G51)</f>
        <v>10</v>
      </c>
      <c r="I51" s="29">
        <f>IF(ISBLANK(#REF!),"",E51*D51)</f>
        <v>6</v>
      </c>
    </row>
    <row r="52" spans="1:9" hidden="1" x14ac:dyDescent="0.2">
      <c r="A52" s="39" t="s">
        <v>1766</v>
      </c>
      <c r="B52" s="57" t="s">
        <v>1767</v>
      </c>
      <c r="C52" s="37" t="s">
        <v>2187</v>
      </c>
      <c r="D52" s="38"/>
      <c r="E52" s="11"/>
      <c r="F52" s="12"/>
      <c r="G52" s="14"/>
      <c r="H52" s="28"/>
      <c r="I52" s="29"/>
    </row>
    <row r="53" spans="1:9" ht="25.5" hidden="1" x14ac:dyDescent="0.2">
      <c r="A53" s="41" t="s">
        <v>1768</v>
      </c>
      <c r="B53" s="57" t="s">
        <v>1769</v>
      </c>
      <c r="C53" s="37" t="s">
        <v>2187</v>
      </c>
      <c r="D53" s="38"/>
      <c r="E53" s="11"/>
      <c r="F53" s="12"/>
      <c r="G53" s="14"/>
      <c r="H53" s="28"/>
      <c r="I53" s="29"/>
    </row>
    <row r="54" spans="1:9" ht="38.25" x14ac:dyDescent="0.2">
      <c r="A54" s="40" t="s">
        <v>1770</v>
      </c>
      <c r="B54" s="63" t="s">
        <v>1970</v>
      </c>
      <c r="C54" s="37" t="s">
        <v>1946</v>
      </c>
      <c r="D54" s="38">
        <v>1</v>
      </c>
      <c r="E54" s="15">
        <v>10</v>
      </c>
      <c r="F54" s="12">
        <v>7</v>
      </c>
      <c r="G54" s="14">
        <f>F54+E54</f>
        <v>17</v>
      </c>
      <c r="H54" s="28">
        <f>IF(ISBLANK(#REF!),"",D54*G54)</f>
        <v>17</v>
      </c>
      <c r="I54" s="29">
        <f>IF(ISBLANK(#REF!),"",E54*D54)</f>
        <v>10</v>
      </c>
    </row>
    <row r="55" spans="1:9" x14ac:dyDescent="0.2">
      <c r="A55" s="61" t="s">
        <v>2393</v>
      </c>
      <c r="B55" s="63" t="s">
        <v>2394</v>
      </c>
      <c r="C55" s="37" t="s">
        <v>1946</v>
      </c>
      <c r="D55" s="38">
        <v>1</v>
      </c>
      <c r="E55" s="15">
        <v>60</v>
      </c>
      <c r="F55" s="12">
        <v>15</v>
      </c>
      <c r="G55" s="14">
        <f>F55+E55</f>
        <v>75</v>
      </c>
      <c r="H55" s="28">
        <f>IF(ISBLANK(#REF!),"",D55*G55)</f>
        <v>75</v>
      </c>
      <c r="I55" s="29">
        <f>IF(ISBLANK(#REF!),"",E55*D55)</f>
        <v>60</v>
      </c>
    </row>
    <row r="56" spans="1:9" hidden="1" x14ac:dyDescent="0.2">
      <c r="A56" s="43" t="s">
        <v>2401</v>
      </c>
      <c r="B56" s="59" t="s">
        <v>2402</v>
      </c>
      <c r="C56" s="18" t="s">
        <v>2204</v>
      </c>
      <c r="D56" s="19"/>
      <c r="E56" s="17"/>
      <c r="F56" s="18"/>
      <c r="G56" s="19"/>
      <c r="H56" s="30"/>
      <c r="I56" s="19"/>
    </row>
    <row r="57" spans="1:9" x14ac:dyDescent="0.2">
      <c r="A57" s="61" t="s">
        <v>2404</v>
      </c>
      <c r="B57" s="63" t="s">
        <v>207</v>
      </c>
      <c r="C57" s="37" t="s">
        <v>1946</v>
      </c>
      <c r="D57" s="38">
        <v>1</v>
      </c>
      <c r="E57" s="15">
        <v>4</v>
      </c>
      <c r="F57" s="12">
        <v>2</v>
      </c>
      <c r="G57" s="14">
        <f>F57+E57</f>
        <v>6</v>
      </c>
      <c r="H57" s="28">
        <f>IF(ISBLANK(#REF!),"",D57*G57)</f>
        <v>6</v>
      </c>
      <c r="I57" s="29">
        <f>IF(ISBLANK(#REF!),"",E57*D57)</f>
        <v>4</v>
      </c>
    </row>
    <row r="58" spans="1:9" x14ac:dyDescent="0.2">
      <c r="A58" s="61" t="s">
        <v>2412</v>
      </c>
      <c r="B58" s="63" t="s">
        <v>2413</v>
      </c>
      <c r="C58" s="37" t="s">
        <v>1946</v>
      </c>
      <c r="D58" s="38">
        <v>1</v>
      </c>
      <c r="E58" s="15">
        <v>40</v>
      </c>
      <c r="F58" s="12">
        <v>15</v>
      </c>
      <c r="G58" s="14">
        <f>F58+E58</f>
        <v>55</v>
      </c>
      <c r="H58" s="28">
        <f>IF(ISBLANK(#REF!),"",D58*G58)</f>
        <v>55</v>
      </c>
      <c r="I58" s="29">
        <f>IF(ISBLANK(#REF!),"",E58*D58)</f>
        <v>40</v>
      </c>
    </row>
    <row r="59" spans="1:9" hidden="1" x14ac:dyDescent="0.2">
      <c r="A59" s="41" t="s">
        <v>2270</v>
      </c>
      <c r="B59" s="57" t="s">
        <v>2271</v>
      </c>
      <c r="C59" s="37" t="s">
        <v>2187</v>
      </c>
      <c r="D59" s="38"/>
      <c r="E59" s="11"/>
      <c r="F59" s="12"/>
      <c r="G59" s="14"/>
      <c r="H59" s="28"/>
      <c r="I59" s="29"/>
    </row>
    <row r="60" spans="1:9" ht="25.5" x14ac:dyDescent="0.2">
      <c r="A60" s="40" t="s">
        <v>2272</v>
      </c>
      <c r="B60" s="63" t="s">
        <v>210</v>
      </c>
      <c r="C60" s="37" t="s">
        <v>1946</v>
      </c>
      <c r="D60" s="38">
        <v>1</v>
      </c>
      <c r="E60" s="15">
        <v>50</v>
      </c>
      <c r="F60" s="12">
        <v>20</v>
      </c>
      <c r="G60" s="14">
        <f>F60+E60</f>
        <v>70</v>
      </c>
      <c r="H60" s="28">
        <f>IF(ISBLANK(#REF!),"",D60*G60)</f>
        <v>70</v>
      </c>
      <c r="I60" s="29">
        <f>IF(ISBLANK(#REF!),"",E60*D60)</f>
        <v>50</v>
      </c>
    </row>
    <row r="61" spans="1:9" hidden="1" x14ac:dyDescent="0.2">
      <c r="A61" s="35" t="s">
        <v>2281</v>
      </c>
      <c r="B61" s="57" t="s">
        <v>2282</v>
      </c>
      <c r="C61" s="37" t="s">
        <v>2187</v>
      </c>
      <c r="D61" s="38"/>
      <c r="E61" s="11"/>
      <c r="F61" s="12"/>
      <c r="G61" s="14"/>
      <c r="H61" s="28"/>
      <c r="I61" s="29">
        <f>IF(ISBLANK(#REF!),"",E61*D61)</f>
        <v>0</v>
      </c>
    </row>
    <row r="62" spans="1:9" hidden="1" x14ac:dyDescent="0.2">
      <c r="A62" s="39" t="s">
        <v>2283</v>
      </c>
      <c r="B62" s="57" t="s">
        <v>2284</v>
      </c>
      <c r="C62" s="37" t="s">
        <v>2187</v>
      </c>
      <c r="D62" s="38"/>
      <c r="E62" s="11"/>
      <c r="F62" s="12"/>
      <c r="G62" s="14"/>
      <c r="H62" s="28"/>
      <c r="I62" s="29">
        <f>IF(ISBLANK(#REF!),"",E62*D62)</f>
        <v>0</v>
      </c>
    </row>
    <row r="63" spans="1:9" hidden="1" x14ac:dyDescent="0.2">
      <c r="A63" s="41" t="s">
        <v>2285</v>
      </c>
      <c r="B63" s="57" t="s">
        <v>2286</v>
      </c>
      <c r="C63" s="37" t="s">
        <v>2187</v>
      </c>
      <c r="D63" s="38"/>
      <c r="E63" s="11"/>
      <c r="F63" s="12"/>
      <c r="G63" s="14"/>
      <c r="H63" s="28"/>
      <c r="I63" s="29">
        <f>IF(ISBLANK(#REF!),"",E63*D63)</f>
        <v>0</v>
      </c>
    </row>
    <row r="64" spans="1:9" ht="25.5" x14ac:dyDescent="0.2">
      <c r="A64" s="40" t="s">
        <v>1429</v>
      </c>
      <c r="B64" s="63" t="s">
        <v>600</v>
      </c>
      <c r="C64" s="37" t="s">
        <v>1946</v>
      </c>
      <c r="D64" s="38">
        <v>1</v>
      </c>
      <c r="E64" s="15">
        <v>3.5</v>
      </c>
      <c r="F64" s="12">
        <v>1</v>
      </c>
      <c r="G64" s="14">
        <f>F64+E64</f>
        <v>4.5</v>
      </c>
      <c r="H64" s="28">
        <f>IF(ISBLANK(#REF!),"",D64*G64)</f>
        <v>4.5</v>
      </c>
      <c r="I64" s="29">
        <f>IF(ISBLANK(#REF!),"",E64*D64)</f>
        <v>3.5</v>
      </c>
    </row>
    <row r="65" spans="1:9" ht="25.5" x14ac:dyDescent="0.2">
      <c r="A65" s="40" t="s">
        <v>1060</v>
      </c>
      <c r="B65" s="63" t="s">
        <v>1061</v>
      </c>
      <c r="C65" s="37" t="s">
        <v>1946</v>
      </c>
      <c r="D65" s="38">
        <v>1</v>
      </c>
      <c r="E65" s="15">
        <v>4.5</v>
      </c>
      <c r="F65" s="12">
        <v>2</v>
      </c>
      <c r="G65" s="14">
        <f>F65+E65</f>
        <v>6.5</v>
      </c>
      <c r="H65" s="28">
        <f>IF(ISBLANK(#REF!),"",D65*G65)</f>
        <v>6.5</v>
      </c>
      <c r="I65" s="29">
        <f>IF(ISBLANK(#REF!),"",E65*D65)</f>
        <v>4.5</v>
      </c>
    </row>
    <row r="66" spans="1:9" ht="25.5" x14ac:dyDescent="0.2">
      <c r="A66" s="40" t="s">
        <v>1528</v>
      </c>
      <c r="B66" s="63" t="s">
        <v>1529</v>
      </c>
      <c r="C66" s="37" t="s">
        <v>1946</v>
      </c>
      <c r="D66" s="38">
        <v>1</v>
      </c>
      <c r="E66" s="15">
        <v>5</v>
      </c>
      <c r="F66" s="12">
        <v>4</v>
      </c>
      <c r="G66" s="14">
        <f>F66+E66</f>
        <v>9</v>
      </c>
      <c r="H66" s="28">
        <f>IF(ISBLANK(#REF!),"",D66*G66)</f>
        <v>9</v>
      </c>
      <c r="I66" s="29">
        <f>IF(ISBLANK(#REF!),"",E66*D66)</f>
        <v>5</v>
      </c>
    </row>
    <row r="67" spans="1:9" hidden="1" x14ac:dyDescent="0.2">
      <c r="A67" s="41" t="s">
        <v>1531</v>
      </c>
      <c r="B67" s="57" t="s">
        <v>1532</v>
      </c>
      <c r="C67" s="37" t="s">
        <v>2187</v>
      </c>
      <c r="D67" s="38"/>
      <c r="E67" s="11"/>
      <c r="F67" s="12"/>
      <c r="G67" s="14"/>
      <c r="H67" s="28"/>
      <c r="I67" s="29">
        <f>IF(ISBLANK(#REF!),"",E67*D67)</f>
        <v>0</v>
      </c>
    </row>
    <row r="68" spans="1:9" ht="25.5" x14ac:dyDescent="0.2">
      <c r="A68" s="40" t="s">
        <v>1536</v>
      </c>
      <c r="B68" s="63" t="s">
        <v>601</v>
      </c>
      <c r="C68" s="37" t="s">
        <v>1946</v>
      </c>
      <c r="D68" s="38">
        <v>1</v>
      </c>
      <c r="E68" s="15">
        <v>4</v>
      </c>
      <c r="F68" s="12">
        <v>0</v>
      </c>
      <c r="G68" s="14">
        <f>F68+E68</f>
        <v>4</v>
      </c>
      <c r="H68" s="28">
        <f>IF(ISBLANK(#REF!),"",D68*G68)</f>
        <v>4</v>
      </c>
      <c r="I68" s="29">
        <f>IF(ISBLANK(#REF!),"",E68*D68)</f>
        <v>4</v>
      </c>
    </row>
    <row r="69" spans="1:9" hidden="1" x14ac:dyDescent="0.2">
      <c r="A69" s="41" t="s">
        <v>2211</v>
      </c>
      <c r="B69" s="57" t="s">
        <v>2212</v>
      </c>
      <c r="C69" s="37" t="s">
        <v>2187</v>
      </c>
      <c r="D69" s="38"/>
      <c r="E69" s="11"/>
      <c r="F69" s="12"/>
      <c r="G69" s="14"/>
      <c r="H69" s="28"/>
      <c r="I69" s="29">
        <f>IF(ISBLANK(#REF!),"",E69*D69)</f>
        <v>0</v>
      </c>
    </row>
    <row r="70" spans="1:9" ht="38.25" x14ac:dyDescent="0.2">
      <c r="A70" s="40" t="s">
        <v>2213</v>
      </c>
      <c r="B70" s="63" t="s">
        <v>211</v>
      </c>
      <c r="C70" s="37" t="s">
        <v>2215</v>
      </c>
      <c r="D70" s="38">
        <v>1</v>
      </c>
      <c r="E70" s="15">
        <v>25</v>
      </c>
      <c r="F70" s="12">
        <v>0</v>
      </c>
      <c r="G70" s="14">
        <f>F70+E70</f>
        <v>25</v>
      </c>
      <c r="H70" s="28">
        <f>IF(ISBLANK(#REF!),"",D70*G70)</f>
        <v>25</v>
      </c>
      <c r="I70" s="29">
        <f>IF(ISBLANK(#REF!),"",E70*D70)</f>
        <v>25</v>
      </c>
    </row>
    <row r="71" spans="1:9" ht="25.5" x14ac:dyDescent="0.2">
      <c r="A71" s="42" t="s">
        <v>2217</v>
      </c>
      <c r="B71" s="63" t="s">
        <v>212</v>
      </c>
      <c r="C71" s="37" t="s">
        <v>2215</v>
      </c>
      <c r="D71" s="38">
        <v>1</v>
      </c>
      <c r="E71" s="15">
        <v>103</v>
      </c>
      <c r="F71" s="12">
        <v>0</v>
      </c>
      <c r="G71" s="14">
        <f>F71+E71</f>
        <v>103</v>
      </c>
      <c r="H71" s="28">
        <f>IF(ISBLANK(#REF!),"",D71*G71)</f>
        <v>103</v>
      </c>
      <c r="I71" s="29">
        <f>IF(ISBLANK(#REF!),"",E71*D71)</f>
        <v>103</v>
      </c>
    </row>
    <row r="72" spans="1:9" ht="25.5" hidden="1" x14ac:dyDescent="0.2">
      <c r="A72" s="42" t="s">
        <v>2547</v>
      </c>
      <c r="B72" s="58" t="s">
        <v>2548</v>
      </c>
      <c r="C72" s="37" t="s">
        <v>522</v>
      </c>
      <c r="D72" s="38">
        <v>1</v>
      </c>
      <c r="E72" s="15">
        <v>276</v>
      </c>
      <c r="F72" s="12">
        <v>25</v>
      </c>
      <c r="G72" s="14">
        <f>F72+E72</f>
        <v>301</v>
      </c>
      <c r="H72" s="30"/>
      <c r="I72" s="19"/>
    </row>
    <row r="73" spans="1:9" hidden="1" x14ac:dyDescent="0.2">
      <c r="A73" s="39" t="s">
        <v>2225</v>
      </c>
      <c r="B73" s="57" t="s">
        <v>2226</v>
      </c>
      <c r="C73" s="37" t="s">
        <v>2187</v>
      </c>
      <c r="D73" s="38"/>
      <c r="E73" s="11"/>
      <c r="F73" s="12"/>
      <c r="G73" s="14"/>
      <c r="H73" s="28"/>
      <c r="I73" s="29">
        <f>IF(ISBLANK(#REF!),"",E73*D73)</f>
        <v>0</v>
      </c>
    </row>
    <row r="74" spans="1:9" hidden="1" x14ac:dyDescent="0.2">
      <c r="A74" s="41" t="s">
        <v>2227</v>
      </c>
      <c r="B74" s="57" t="s">
        <v>2228</v>
      </c>
      <c r="C74" s="37" t="s">
        <v>2187</v>
      </c>
      <c r="D74" s="38"/>
      <c r="E74" s="11"/>
      <c r="F74" s="12"/>
      <c r="G74" s="14"/>
      <c r="H74" s="28"/>
      <c r="I74" s="29">
        <f>IF(ISBLANK(#REF!),"",E74*D74)</f>
        <v>0</v>
      </c>
    </row>
    <row r="75" spans="1:9" x14ac:dyDescent="0.2">
      <c r="A75" s="40" t="s">
        <v>2229</v>
      </c>
      <c r="B75" s="63" t="s">
        <v>2230</v>
      </c>
      <c r="C75" s="37" t="s">
        <v>1946</v>
      </c>
      <c r="D75" s="38">
        <v>1</v>
      </c>
      <c r="E75" s="15">
        <v>5</v>
      </c>
      <c r="F75" s="12">
        <v>3</v>
      </c>
      <c r="G75" s="14">
        <f>F75+E75</f>
        <v>8</v>
      </c>
      <c r="H75" s="28">
        <f>IF(ISBLANK(#REF!),"",D75*G75)</f>
        <v>8</v>
      </c>
      <c r="I75" s="29">
        <f>IF(ISBLANK(#REF!),"",E75*D75)</f>
        <v>5</v>
      </c>
    </row>
    <row r="76" spans="1:9" x14ac:dyDescent="0.2">
      <c r="A76" s="42" t="s">
        <v>2232</v>
      </c>
      <c r="B76" s="63" t="s">
        <v>2233</v>
      </c>
      <c r="C76" s="37" t="s">
        <v>1946</v>
      </c>
      <c r="D76" s="38">
        <v>1</v>
      </c>
      <c r="E76" s="15">
        <v>5</v>
      </c>
      <c r="F76" s="12">
        <v>4</v>
      </c>
      <c r="G76" s="14">
        <f>F76+E76</f>
        <v>9</v>
      </c>
      <c r="H76" s="28">
        <f>IF(ISBLANK(#REF!),"",D76*G76)</f>
        <v>9</v>
      </c>
      <c r="I76" s="29">
        <f>IF(ISBLANK(#REF!),"",E76*D76)</f>
        <v>5</v>
      </c>
    </row>
    <row r="77" spans="1:9" hidden="1" x14ac:dyDescent="0.2">
      <c r="A77" s="41" t="s">
        <v>2235</v>
      </c>
      <c r="B77" s="57" t="s">
        <v>2236</v>
      </c>
      <c r="C77" s="37" t="s">
        <v>2187</v>
      </c>
      <c r="D77" s="38"/>
      <c r="E77" s="11"/>
      <c r="F77" s="12"/>
      <c r="G77" s="14"/>
      <c r="H77" s="28"/>
      <c r="I77" s="29">
        <f>IF(ISBLANK(#REF!),"",E77*D77)</f>
        <v>0</v>
      </c>
    </row>
    <row r="78" spans="1:9" x14ac:dyDescent="0.2">
      <c r="A78" s="42" t="s">
        <v>2237</v>
      </c>
      <c r="B78" s="63" t="s">
        <v>2238</v>
      </c>
      <c r="C78" s="37" t="s">
        <v>1946</v>
      </c>
      <c r="D78" s="38">
        <v>1</v>
      </c>
      <c r="E78" s="15">
        <v>5</v>
      </c>
      <c r="F78" s="12">
        <v>3.5</v>
      </c>
      <c r="G78" s="14">
        <f>F78+E78</f>
        <v>8.5</v>
      </c>
      <c r="H78" s="28">
        <f>IF(ISBLANK(#REF!),"",D78*G78)</f>
        <v>8.5</v>
      </c>
      <c r="I78" s="29">
        <f>IF(ISBLANK(#REF!),"",E78*D78)</f>
        <v>5</v>
      </c>
    </row>
    <row r="79" spans="1:9" hidden="1" x14ac:dyDescent="0.2">
      <c r="A79" s="41" t="s">
        <v>2533</v>
      </c>
      <c r="B79" s="57" t="s">
        <v>2534</v>
      </c>
      <c r="C79" s="37" t="s">
        <v>2187</v>
      </c>
      <c r="D79" s="38"/>
      <c r="E79" s="11"/>
      <c r="F79" s="12"/>
      <c r="G79" s="14"/>
      <c r="H79" s="28"/>
      <c r="I79" s="29">
        <f>IF(ISBLANK(#REF!),"",E79*D79)</f>
        <v>0</v>
      </c>
    </row>
    <row r="80" spans="1:9" ht="25.5" x14ac:dyDescent="0.2">
      <c r="A80" s="40" t="s">
        <v>2535</v>
      </c>
      <c r="B80" s="63" t="s">
        <v>88</v>
      </c>
      <c r="C80" s="37" t="s">
        <v>1946</v>
      </c>
      <c r="D80" s="38">
        <v>1</v>
      </c>
      <c r="E80" s="15">
        <v>45</v>
      </c>
      <c r="F80" s="12">
        <v>2</v>
      </c>
      <c r="G80" s="14">
        <f>F80+E80</f>
        <v>47</v>
      </c>
      <c r="H80" s="28">
        <f>IF(ISBLANK(#REF!),"",D80*G80)</f>
        <v>47</v>
      </c>
      <c r="I80" s="29">
        <f>IF(ISBLANK(#REF!),"",E80*D80)</f>
        <v>45</v>
      </c>
    </row>
    <row r="81" spans="1:9" ht="63.75" x14ac:dyDescent="0.2">
      <c r="A81" s="40" t="s">
        <v>2538</v>
      </c>
      <c r="B81" s="63" t="s">
        <v>89</v>
      </c>
      <c r="C81" s="37" t="s">
        <v>1946</v>
      </c>
      <c r="D81" s="38">
        <v>1</v>
      </c>
      <c r="E81" s="15">
        <v>45</v>
      </c>
      <c r="F81" s="12">
        <v>2</v>
      </c>
      <c r="G81" s="14">
        <f>F81+E81</f>
        <v>47</v>
      </c>
      <c r="H81" s="28">
        <f>IF(ISBLANK(#REF!),"",D81*G81)</f>
        <v>47</v>
      </c>
      <c r="I81" s="29">
        <f>IF(ISBLANK(#REF!),"",E81*D81)</f>
        <v>45</v>
      </c>
    </row>
    <row r="82" spans="1:9" hidden="1" x14ac:dyDescent="0.2">
      <c r="A82" s="39" t="s">
        <v>2046</v>
      </c>
      <c r="B82" s="57" t="s">
        <v>2047</v>
      </c>
      <c r="C82" s="37" t="s">
        <v>2187</v>
      </c>
      <c r="D82" s="38"/>
      <c r="E82" s="11"/>
      <c r="F82" s="12"/>
      <c r="G82" s="14"/>
      <c r="H82" s="28"/>
      <c r="I82" s="29">
        <f>IF(ISBLANK(#REF!),"",E82*D82)</f>
        <v>0</v>
      </c>
    </row>
    <row r="83" spans="1:9" hidden="1" x14ac:dyDescent="0.2">
      <c r="A83" s="41" t="s">
        <v>2048</v>
      </c>
      <c r="B83" s="57" t="s">
        <v>2047</v>
      </c>
      <c r="C83" s="37" t="s">
        <v>2187</v>
      </c>
      <c r="D83" s="38"/>
      <c r="E83" s="11"/>
      <c r="F83" s="12"/>
      <c r="G83" s="14"/>
      <c r="H83" s="28"/>
      <c r="I83" s="29">
        <f>IF(ISBLANK(#REF!),"",E83*D83)</f>
        <v>0</v>
      </c>
    </row>
    <row r="84" spans="1:9" x14ac:dyDescent="0.2">
      <c r="A84" s="40" t="s">
        <v>2049</v>
      </c>
      <c r="B84" s="63" t="s">
        <v>2050</v>
      </c>
      <c r="C84" s="37" t="s">
        <v>2149</v>
      </c>
      <c r="D84" s="38">
        <v>1</v>
      </c>
      <c r="E84" s="15">
        <v>0.5</v>
      </c>
      <c r="F84" s="12">
        <v>1</v>
      </c>
      <c r="G84" s="14">
        <f>F84+E84</f>
        <v>1.5</v>
      </c>
      <c r="H84" s="28">
        <f>IF(ISBLANK(#REF!),"",D84*G84)</f>
        <v>1.5</v>
      </c>
      <c r="I84" s="29">
        <f>IF(ISBLANK(#REF!),"",E84*D84)</f>
        <v>0.5</v>
      </c>
    </row>
    <row r="85" spans="1:9" hidden="1" x14ac:dyDescent="0.2">
      <c r="A85" s="39" t="s">
        <v>2065</v>
      </c>
      <c r="B85" s="57" t="s">
        <v>1608</v>
      </c>
      <c r="C85" s="37" t="s">
        <v>2187</v>
      </c>
      <c r="D85" s="38"/>
      <c r="E85" s="11"/>
      <c r="F85" s="12"/>
      <c r="G85" s="14"/>
      <c r="H85" s="28"/>
      <c r="I85" s="29">
        <f>IF(ISBLANK(#REF!),"",E85*D85)</f>
        <v>0</v>
      </c>
    </row>
    <row r="86" spans="1:9" x14ac:dyDescent="0.2">
      <c r="A86" s="40" t="s">
        <v>1607</v>
      </c>
      <c r="B86" s="63" t="s">
        <v>1608</v>
      </c>
      <c r="C86" s="37" t="s">
        <v>2149</v>
      </c>
      <c r="D86" s="38">
        <v>1</v>
      </c>
      <c r="E86" s="15">
        <v>0.3</v>
      </c>
      <c r="F86" s="12">
        <v>1</v>
      </c>
      <c r="G86" s="14">
        <f>F86+E86</f>
        <v>1.3</v>
      </c>
      <c r="H86" s="28">
        <f>IF(ISBLANK(#REF!),"",D86*G86)</f>
        <v>1.3</v>
      </c>
      <c r="I86" s="29">
        <f>IF(ISBLANK(#REF!),"",E86*D86)</f>
        <v>0.3</v>
      </c>
    </row>
    <row r="87" spans="1:9" ht="25.5" hidden="1" x14ac:dyDescent="0.2">
      <c r="A87" s="39" t="s">
        <v>1610</v>
      </c>
      <c r="B87" s="57" t="s">
        <v>1611</v>
      </c>
      <c r="C87" s="37" t="s">
        <v>2187</v>
      </c>
      <c r="D87" s="38"/>
      <c r="E87" s="11"/>
      <c r="F87" s="12"/>
      <c r="G87" s="14"/>
      <c r="H87" s="28"/>
      <c r="I87" s="29">
        <f>IF(ISBLANK(#REF!),"",E87*D87)</f>
        <v>0</v>
      </c>
    </row>
    <row r="88" spans="1:9" hidden="1" x14ac:dyDescent="0.2">
      <c r="A88" s="41" t="s">
        <v>1612</v>
      </c>
      <c r="B88" s="57" t="s">
        <v>1613</v>
      </c>
      <c r="C88" s="37" t="s">
        <v>2187</v>
      </c>
      <c r="D88" s="38"/>
      <c r="E88" s="11"/>
      <c r="F88" s="12"/>
      <c r="G88" s="14"/>
      <c r="H88" s="28"/>
      <c r="I88" s="29">
        <f>IF(ISBLANK(#REF!),"",E88*D88)</f>
        <v>0</v>
      </c>
    </row>
    <row r="89" spans="1:9" x14ac:dyDescent="0.2">
      <c r="A89" s="42" t="s">
        <v>1614</v>
      </c>
      <c r="B89" s="63" t="s">
        <v>1615</v>
      </c>
      <c r="C89" s="37" t="s">
        <v>1946</v>
      </c>
      <c r="D89" s="38">
        <v>1</v>
      </c>
      <c r="E89" s="15">
        <v>9.5</v>
      </c>
      <c r="F89" s="12">
        <v>5</v>
      </c>
      <c r="G89" s="14">
        <f>F89+E89</f>
        <v>14.5</v>
      </c>
      <c r="H89" s="28">
        <f>IF(ISBLANK(#REF!),"",D89*G89)</f>
        <v>14.5</v>
      </c>
      <c r="I89" s="29">
        <f>IF(ISBLANK(#REF!),"",E89*D89)</f>
        <v>9.5</v>
      </c>
    </row>
    <row r="90" spans="1:9" hidden="1" x14ac:dyDescent="0.2">
      <c r="A90" s="41" t="s">
        <v>2009</v>
      </c>
      <c r="B90" s="57" t="s">
        <v>2010</v>
      </c>
      <c r="C90" s="37" t="s">
        <v>2187</v>
      </c>
      <c r="D90" s="38"/>
      <c r="E90" s="11"/>
      <c r="F90" s="12"/>
      <c r="G90" s="14"/>
      <c r="H90" s="28"/>
      <c r="I90" s="29">
        <f>IF(ISBLANK(#REF!),"",E90*D90)</f>
        <v>0</v>
      </c>
    </row>
    <row r="91" spans="1:9" ht="25.5" x14ac:dyDescent="0.2">
      <c r="A91" s="40" t="s">
        <v>2051</v>
      </c>
      <c r="B91" s="63" t="s">
        <v>90</v>
      </c>
      <c r="C91" s="37" t="s">
        <v>1946</v>
      </c>
      <c r="D91" s="38">
        <v>1</v>
      </c>
      <c r="E91" s="15">
        <v>30</v>
      </c>
      <c r="F91" s="12">
        <v>3</v>
      </c>
      <c r="G91" s="14">
        <f>F91+E91</f>
        <v>33</v>
      </c>
      <c r="H91" s="28">
        <f>IF(ISBLANK(#REF!),"",D91*G91)</f>
        <v>33</v>
      </c>
      <c r="I91" s="29">
        <f>IF(ISBLANK(#REF!),"",E91*D91)</f>
        <v>30</v>
      </c>
    </row>
    <row r="92" spans="1:9" hidden="1" x14ac:dyDescent="0.2">
      <c r="A92" s="41" t="s">
        <v>2057</v>
      </c>
      <c r="B92" s="57" t="s">
        <v>2058</v>
      </c>
      <c r="C92" s="37" t="s">
        <v>2187</v>
      </c>
      <c r="D92" s="38"/>
      <c r="E92" s="11"/>
      <c r="F92" s="12"/>
      <c r="G92" s="14"/>
      <c r="H92" s="28"/>
      <c r="I92" s="29">
        <f>IF(ISBLANK(#REF!),"",E92*D92)</f>
        <v>0</v>
      </c>
    </row>
    <row r="93" spans="1:9" x14ac:dyDescent="0.2">
      <c r="A93" s="40" t="s">
        <v>2059</v>
      </c>
      <c r="B93" s="63" t="s">
        <v>2060</v>
      </c>
      <c r="C93" s="37" t="s">
        <v>1946</v>
      </c>
      <c r="D93" s="38">
        <v>1</v>
      </c>
      <c r="E93" s="15">
        <v>34</v>
      </c>
      <c r="F93" s="12">
        <v>3</v>
      </c>
      <c r="G93" s="14">
        <f>F93+E93</f>
        <v>37</v>
      </c>
      <c r="H93" s="28">
        <f>IF(ISBLANK(#REF!),"",D93*G93)</f>
        <v>37</v>
      </c>
      <c r="I93" s="29">
        <f>IF(ISBLANK(#REF!),"",E93*D93)</f>
        <v>34</v>
      </c>
    </row>
    <row r="94" spans="1:9" hidden="1" x14ac:dyDescent="0.2">
      <c r="A94" s="41" t="s">
        <v>2554</v>
      </c>
      <c r="B94" s="60" t="s">
        <v>91</v>
      </c>
      <c r="C94" s="18" t="s">
        <v>2187</v>
      </c>
      <c r="D94" s="19"/>
      <c r="E94" s="17"/>
      <c r="F94" s="18"/>
      <c r="G94" s="19"/>
      <c r="H94" s="30"/>
      <c r="I94" s="19"/>
    </row>
    <row r="95" spans="1:9" x14ac:dyDescent="0.2">
      <c r="A95" s="40" t="s">
        <v>2556</v>
      </c>
      <c r="B95" s="63" t="s">
        <v>2557</v>
      </c>
      <c r="C95" s="37" t="s">
        <v>2149</v>
      </c>
      <c r="D95" s="38">
        <v>1</v>
      </c>
      <c r="E95" s="15">
        <v>5</v>
      </c>
      <c r="F95" s="12">
        <v>2.5</v>
      </c>
      <c r="G95" s="14">
        <f>F95+E95</f>
        <v>7.5</v>
      </c>
      <c r="H95" s="28">
        <f>IF(ISBLANK(#REF!),"",D95*G95)</f>
        <v>7.5</v>
      </c>
      <c r="I95" s="29">
        <f>IF(ISBLANK(#REF!),"",E95*D95)</f>
        <v>5</v>
      </c>
    </row>
    <row r="96" spans="1:9" x14ac:dyDescent="0.2">
      <c r="A96" s="42" t="s">
        <v>2069</v>
      </c>
      <c r="B96" s="63" t="s">
        <v>2070</v>
      </c>
      <c r="C96" s="37" t="s">
        <v>2204</v>
      </c>
      <c r="D96" s="38">
        <v>1</v>
      </c>
      <c r="E96" s="15">
        <v>3</v>
      </c>
      <c r="F96" s="12">
        <v>0.7</v>
      </c>
      <c r="G96" s="14">
        <f>F96+E96</f>
        <v>3.7</v>
      </c>
      <c r="H96" s="28">
        <f>IF(ISBLANK(#REF!),"",D96*G96)</f>
        <v>3.7</v>
      </c>
      <c r="I96" s="29">
        <f>IF(ISBLANK(#REF!),"",E96*D96)</f>
        <v>3</v>
      </c>
    </row>
    <row r="97" spans="1:9" x14ac:dyDescent="0.2">
      <c r="A97" s="42" t="s">
        <v>2077</v>
      </c>
      <c r="B97" s="63" t="s">
        <v>2078</v>
      </c>
      <c r="C97" s="37" t="s">
        <v>2204</v>
      </c>
      <c r="D97" s="38">
        <v>1</v>
      </c>
      <c r="E97" s="15">
        <v>2</v>
      </c>
      <c r="F97" s="12">
        <v>2</v>
      </c>
      <c r="G97" s="14">
        <f>F97+E97</f>
        <v>4</v>
      </c>
      <c r="H97" s="28">
        <f>IF(ISBLANK(#REF!),"",D97*G97)</f>
        <v>4</v>
      </c>
      <c r="I97" s="29">
        <f>IF(ISBLANK(#REF!),"",E97*D97)</f>
        <v>2</v>
      </c>
    </row>
    <row r="98" spans="1:9" x14ac:dyDescent="0.2">
      <c r="A98" s="42" t="s">
        <v>1899</v>
      </c>
      <c r="B98" s="63" t="s">
        <v>1900</v>
      </c>
      <c r="C98" s="37" t="s">
        <v>2204</v>
      </c>
      <c r="D98" s="38">
        <v>1</v>
      </c>
      <c r="E98" s="15">
        <v>4</v>
      </c>
      <c r="F98" s="12">
        <v>1</v>
      </c>
      <c r="G98" s="14">
        <f>F98+E98</f>
        <v>5</v>
      </c>
      <c r="H98" s="28">
        <f>IF(ISBLANK(#REF!),"",D98*G98)</f>
        <v>5</v>
      </c>
      <c r="I98" s="29">
        <f>IF(ISBLANK(#REF!),"",E98*D98)</f>
        <v>4</v>
      </c>
    </row>
    <row r="99" spans="1:9" hidden="1" x14ac:dyDescent="0.2">
      <c r="A99" s="35" t="s">
        <v>1905</v>
      </c>
      <c r="B99" s="57" t="s">
        <v>1906</v>
      </c>
      <c r="C99" s="37" t="s">
        <v>2187</v>
      </c>
      <c r="D99" s="38"/>
      <c r="E99" s="11"/>
      <c r="F99" s="12"/>
      <c r="G99" s="14"/>
      <c r="H99" s="28"/>
      <c r="I99" s="29"/>
    </row>
    <row r="100" spans="1:9" hidden="1" x14ac:dyDescent="0.2">
      <c r="A100" s="39" t="s">
        <v>1907</v>
      </c>
      <c r="B100" s="57" t="s">
        <v>1908</v>
      </c>
      <c r="C100" s="37" t="s">
        <v>2187</v>
      </c>
      <c r="D100" s="38"/>
      <c r="E100" s="11"/>
      <c r="F100" s="12"/>
      <c r="G100" s="14"/>
      <c r="H100" s="28"/>
      <c r="I100" s="29"/>
    </row>
    <row r="101" spans="1:9" hidden="1" x14ac:dyDescent="0.2">
      <c r="A101" s="41" t="s">
        <v>1909</v>
      </c>
      <c r="B101" s="57" t="s">
        <v>1910</v>
      </c>
      <c r="C101" s="37" t="s">
        <v>2187</v>
      </c>
      <c r="D101" s="38"/>
      <c r="E101" s="11"/>
      <c r="F101" s="12"/>
      <c r="G101" s="14"/>
      <c r="H101" s="28"/>
      <c r="I101" s="29"/>
    </row>
    <row r="102" spans="1:9" x14ac:dyDescent="0.2">
      <c r="A102" s="40" t="s">
        <v>1911</v>
      </c>
      <c r="B102" s="63" t="s">
        <v>1912</v>
      </c>
      <c r="C102" s="37" t="s">
        <v>1946</v>
      </c>
      <c r="D102" s="38">
        <v>1</v>
      </c>
      <c r="E102" s="15">
        <v>2</v>
      </c>
      <c r="F102" s="12">
        <v>4</v>
      </c>
      <c r="G102" s="14">
        <f>F102+E102</f>
        <v>6</v>
      </c>
      <c r="H102" s="28">
        <f>IF(ISBLANK(#REF!),"",D102*G102)</f>
        <v>6</v>
      </c>
      <c r="I102" s="29">
        <f>IF(ISBLANK(#REF!),"",E102*D102)</f>
        <v>2</v>
      </c>
    </row>
    <row r="103" spans="1:9" x14ac:dyDescent="0.2">
      <c r="A103" s="40" t="s">
        <v>1914</v>
      </c>
      <c r="B103" s="63" t="s">
        <v>1915</v>
      </c>
      <c r="C103" s="37" t="s">
        <v>1946</v>
      </c>
      <c r="D103" s="38">
        <v>1</v>
      </c>
      <c r="E103" s="15">
        <v>6</v>
      </c>
      <c r="F103" s="12">
        <v>4</v>
      </c>
      <c r="G103" s="14">
        <f>F103+E103</f>
        <v>10</v>
      </c>
      <c r="H103" s="28">
        <f>IF(ISBLANK(#REF!),"",D103*G103)</f>
        <v>10</v>
      </c>
      <c r="I103" s="29">
        <f>IF(ISBLANK(#REF!),"",E103*D103)</f>
        <v>6</v>
      </c>
    </row>
    <row r="104" spans="1:9" hidden="1" x14ac:dyDescent="0.2">
      <c r="A104" s="41" t="s">
        <v>1501</v>
      </c>
      <c r="B104" s="57" t="s">
        <v>1502</v>
      </c>
      <c r="C104" s="37" t="s">
        <v>2187</v>
      </c>
      <c r="D104" s="38"/>
      <c r="E104" s="11"/>
      <c r="F104" s="12"/>
      <c r="G104" s="14"/>
      <c r="H104" s="28"/>
      <c r="I104" s="29"/>
    </row>
    <row r="105" spans="1:9" ht="25.5" x14ac:dyDescent="0.2">
      <c r="A105" s="40" t="s">
        <v>1503</v>
      </c>
      <c r="B105" s="63" t="s">
        <v>1504</v>
      </c>
      <c r="C105" s="37" t="s">
        <v>1946</v>
      </c>
      <c r="D105" s="38">
        <v>1</v>
      </c>
      <c r="E105" s="15">
        <v>12</v>
      </c>
      <c r="F105" s="12">
        <v>4</v>
      </c>
      <c r="G105" s="14">
        <f>F105+E105</f>
        <v>16</v>
      </c>
      <c r="H105" s="28">
        <f>IF(ISBLANK(#REF!),"",D105*G105)</f>
        <v>16</v>
      </c>
      <c r="I105" s="29">
        <f>IF(ISBLANK(#REF!),"",E105*D105)</f>
        <v>12</v>
      </c>
    </row>
    <row r="106" spans="1:9" hidden="1" x14ac:dyDescent="0.2">
      <c r="A106" s="41" t="s">
        <v>1512</v>
      </c>
      <c r="B106" s="57" t="s">
        <v>1513</v>
      </c>
      <c r="C106" s="37" t="s">
        <v>2187</v>
      </c>
      <c r="D106" s="38"/>
      <c r="E106" s="11"/>
      <c r="F106" s="12"/>
      <c r="G106" s="14"/>
      <c r="H106" s="28"/>
      <c r="I106" s="29"/>
    </row>
    <row r="107" spans="1:9" x14ac:dyDescent="0.2">
      <c r="A107" s="42" t="s">
        <v>1514</v>
      </c>
      <c r="B107" s="63" t="s">
        <v>1513</v>
      </c>
      <c r="C107" s="37" t="s">
        <v>1946</v>
      </c>
      <c r="D107" s="38">
        <v>1</v>
      </c>
      <c r="E107" s="15">
        <v>32</v>
      </c>
      <c r="F107" s="12">
        <v>4</v>
      </c>
      <c r="G107" s="14">
        <f>F107+E107</f>
        <v>36</v>
      </c>
      <c r="H107" s="28">
        <f>IF(ISBLANK(#REF!),"",D107*G107)</f>
        <v>36</v>
      </c>
      <c r="I107" s="29">
        <f>IF(ISBLANK(#REF!),"",E107*D107)</f>
        <v>32</v>
      </c>
    </row>
    <row r="108" spans="1:9" hidden="1" x14ac:dyDescent="0.2">
      <c r="A108" s="39" t="s">
        <v>1516</v>
      </c>
      <c r="B108" s="57" t="s">
        <v>1517</v>
      </c>
      <c r="C108" s="37" t="s">
        <v>2187</v>
      </c>
      <c r="D108" s="38"/>
      <c r="E108" s="11"/>
      <c r="F108" s="12"/>
      <c r="G108" s="14"/>
      <c r="H108" s="28"/>
      <c r="I108" s="29"/>
    </row>
    <row r="109" spans="1:9" hidden="1" x14ac:dyDescent="0.2">
      <c r="A109" s="41" t="s">
        <v>1518</v>
      </c>
      <c r="B109" s="57" t="s">
        <v>1618</v>
      </c>
      <c r="C109" s="37" t="s">
        <v>2187</v>
      </c>
      <c r="D109" s="38"/>
      <c r="E109" s="11"/>
      <c r="F109" s="12"/>
      <c r="G109" s="14"/>
      <c r="H109" s="28"/>
      <c r="I109" s="29"/>
    </row>
    <row r="110" spans="1:9" x14ac:dyDescent="0.2">
      <c r="A110" s="42" t="s">
        <v>1619</v>
      </c>
      <c r="B110" s="63" t="s">
        <v>1620</v>
      </c>
      <c r="C110" s="37" t="s">
        <v>1946</v>
      </c>
      <c r="D110" s="38">
        <v>1</v>
      </c>
      <c r="E110" s="15">
        <v>39</v>
      </c>
      <c r="F110" s="12">
        <v>4</v>
      </c>
      <c r="G110" s="14">
        <f>F110+E110</f>
        <v>43</v>
      </c>
      <c r="H110" s="28">
        <f>IF(ISBLANK(#REF!),"",D110*G110)</f>
        <v>43</v>
      </c>
      <c r="I110" s="29">
        <f>IF(ISBLANK(#REF!),"",E110*D110)</f>
        <v>39</v>
      </c>
    </row>
    <row r="111" spans="1:9" ht="25.5" hidden="1" x14ac:dyDescent="0.2">
      <c r="A111" s="41" t="s">
        <v>2089</v>
      </c>
      <c r="B111" s="57" t="s">
        <v>2090</v>
      </c>
      <c r="C111" s="37" t="s">
        <v>2187</v>
      </c>
      <c r="D111" s="38"/>
      <c r="E111" s="11"/>
      <c r="F111" s="12"/>
      <c r="G111" s="14"/>
      <c r="H111" s="28"/>
      <c r="I111" s="29"/>
    </row>
    <row r="112" spans="1:9" hidden="1" x14ac:dyDescent="0.2">
      <c r="A112" s="42" t="s">
        <v>2091</v>
      </c>
      <c r="B112" s="58" t="s">
        <v>93</v>
      </c>
      <c r="C112" s="37" t="s">
        <v>1946</v>
      </c>
      <c r="D112" s="38">
        <v>1</v>
      </c>
      <c r="E112" s="15">
        <v>23</v>
      </c>
      <c r="F112" s="12">
        <v>2</v>
      </c>
      <c r="G112" s="14">
        <f>F112+E112</f>
        <v>25</v>
      </c>
      <c r="H112" s="28"/>
      <c r="I112" s="29"/>
    </row>
    <row r="113" spans="1:9" x14ac:dyDescent="0.2">
      <c r="A113" s="42" t="s">
        <v>92</v>
      </c>
      <c r="B113" s="63" t="s">
        <v>94</v>
      </c>
      <c r="C113" s="37" t="s">
        <v>1946</v>
      </c>
      <c r="D113" s="38">
        <v>1</v>
      </c>
      <c r="E113" s="15">
        <v>0</v>
      </c>
      <c r="F113" s="12">
        <v>0</v>
      </c>
      <c r="G113" s="14">
        <f>F113+E113</f>
        <v>0</v>
      </c>
      <c r="H113" s="28">
        <f>IF(ISBLANK(#REF!),"",D113*G113)</f>
        <v>0</v>
      </c>
      <c r="I113" s="29">
        <f>IF(ISBLANK(#REF!),"",E113*D113)</f>
        <v>0</v>
      </c>
    </row>
    <row r="114" spans="1:9" hidden="1" x14ac:dyDescent="0.2">
      <c r="A114" s="39" t="s">
        <v>2094</v>
      </c>
      <c r="B114" s="57" t="s">
        <v>2095</v>
      </c>
      <c r="C114" s="37" t="s">
        <v>2187</v>
      </c>
      <c r="D114" s="38"/>
      <c r="E114" s="11"/>
      <c r="F114" s="12"/>
      <c r="G114" s="14"/>
      <c r="H114" s="28"/>
      <c r="I114" s="29"/>
    </row>
    <row r="115" spans="1:9" hidden="1" x14ac:dyDescent="0.2">
      <c r="A115" s="41" t="s">
        <v>2096</v>
      </c>
      <c r="B115" s="57" t="s">
        <v>2097</v>
      </c>
      <c r="C115" s="37" t="s">
        <v>2187</v>
      </c>
      <c r="D115" s="38"/>
      <c r="E115" s="11"/>
      <c r="F115" s="12"/>
      <c r="G115" s="14"/>
      <c r="H115" s="28"/>
      <c r="I115" s="29"/>
    </row>
    <row r="116" spans="1:9" x14ac:dyDescent="0.2">
      <c r="A116" s="42" t="s">
        <v>2098</v>
      </c>
      <c r="B116" s="63" t="s">
        <v>2099</v>
      </c>
      <c r="C116" s="37" t="s">
        <v>1946</v>
      </c>
      <c r="D116" s="38">
        <v>1</v>
      </c>
      <c r="E116" s="15">
        <v>30</v>
      </c>
      <c r="F116" s="12">
        <v>8</v>
      </c>
      <c r="G116" s="14">
        <f>F116+E116</f>
        <v>38</v>
      </c>
      <c r="H116" s="28">
        <f>IF(ISBLANK(#REF!),"",D116*G116)</f>
        <v>38</v>
      </c>
      <c r="I116" s="29">
        <f>IF(ISBLANK(#REF!),"",E116*D116)</f>
        <v>30</v>
      </c>
    </row>
    <row r="117" spans="1:9" hidden="1" x14ac:dyDescent="0.2">
      <c r="A117" s="41" t="s">
        <v>2347</v>
      </c>
      <c r="B117" s="57" t="s">
        <v>2348</v>
      </c>
      <c r="C117" s="37" t="s">
        <v>2187</v>
      </c>
      <c r="D117" s="38"/>
      <c r="E117" s="11"/>
      <c r="F117" s="12"/>
      <c r="G117" s="14"/>
      <c r="H117" s="28"/>
      <c r="I117" s="29"/>
    </row>
    <row r="118" spans="1:9" x14ac:dyDescent="0.2">
      <c r="A118" s="42" t="s">
        <v>2349</v>
      </c>
      <c r="B118" s="63" t="s">
        <v>2350</v>
      </c>
      <c r="C118" s="37" t="s">
        <v>1946</v>
      </c>
      <c r="D118" s="38">
        <v>1</v>
      </c>
      <c r="E118" s="15">
        <v>30</v>
      </c>
      <c r="F118" s="12">
        <v>8</v>
      </c>
      <c r="G118" s="14">
        <f>F118+E118</f>
        <v>38</v>
      </c>
      <c r="H118" s="28">
        <f>IF(ISBLANK(#REF!),"",D118*G118)</f>
        <v>38</v>
      </c>
      <c r="I118" s="29">
        <f>IF(ISBLANK(#REF!),"",E118*D118)</f>
        <v>30</v>
      </c>
    </row>
    <row r="119" spans="1:9" hidden="1" x14ac:dyDescent="0.2">
      <c r="A119" s="41" t="s">
        <v>2352</v>
      </c>
      <c r="B119" s="57" t="s">
        <v>2353</v>
      </c>
      <c r="C119" s="37" t="s">
        <v>2187</v>
      </c>
      <c r="D119" s="38"/>
      <c r="E119" s="11"/>
      <c r="F119" s="12"/>
      <c r="G119" s="14"/>
      <c r="H119" s="28"/>
      <c r="I119" s="29"/>
    </row>
    <row r="120" spans="1:9" x14ac:dyDescent="0.2">
      <c r="A120" s="42" t="s">
        <v>2354</v>
      </c>
      <c r="B120" s="63" t="s">
        <v>2355</v>
      </c>
      <c r="C120" s="37" t="s">
        <v>2149</v>
      </c>
      <c r="D120" s="38">
        <v>1</v>
      </c>
      <c r="E120" s="15">
        <v>30</v>
      </c>
      <c r="F120" s="12">
        <v>8</v>
      </c>
      <c r="G120" s="14">
        <f>F120+E120</f>
        <v>38</v>
      </c>
      <c r="H120" s="28">
        <f>IF(ISBLANK(#REF!),"",D120*G120)</f>
        <v>38</v>
      </c>
      <c r="I120" s="29">
        <f>IF(ISBLANK(#REF!),"",E120*D120)</f>
        <v>30</v>
      </c>
    </row>
    <row r="121" spans="1:9" hidden="1" x14ac:dyDescent="0.2">
      <c r="A121" s="39" t="s">
        <v>2357</v>
      </c>
      <c r="B121" s="57" t="s">
        <v>2358</v>
      </c>
      <c r="C121" s="37" t="s">
        <v>2187</v>
      </c>
      <c r="D121" s="38"/>
      <c r="E121" s="11"/>
      <c r="F121" s="12"/>
      <c r="G121" s="14"/>
      <c r="H121" s="28"/>
      <c r="I121" s="29"/>
    </row>
    <row r="122" spans="1:9" hidden="1" x14ac:dyDescent="0.2">
      <c r="A122" s="41" t="s">
        <v>2359</v>
      </c>
      <c r="B122" s="57" t="s">
        <v>2360</v>
      </c>
      <c r="C122" s="37" t="s">
        <v>2187</v>
      </c>
      <c r="D122" s="38"/>
      <c r="E122" s="11"/>
      <c r="F122" s="12"/>
      <c r="G122" s="14"/>
      <c r="H122" s="28"/>
      <c r="I122" s="29"/>
    </row>
    <row r="123" spans="1:9" x14ac:dyDescent="0.2">
      <c r="A123" s="42" t="s">
        <v>2361</v>
      </c>
      <c r="B123" s="63" t="s">
        <v>2362</v>
      </c>
      <c r="C123" s="37" t="s">
        <v>2149</v>
      </c>
      <c r="D123" s="38">
        <v>1</v>
      </c>
      <c r="E123" s="15">
        <v>0.3</v>
      </c>
      <c r="F123" s="12">
        <v>1</v>
      </c>
      <c r="G123" s="14">
        <f>F123+E123</f>
        <v>1.3</v>
      </c>
      <c r="H123" s="28">
        <f>IF(ISBLANK(#REF!),"",D123*G123)</f>
        <v>1.3</v>
      </c>
      <c r="I123" s="29">
        <f>IF(ISBLANK(#REF!),"",E123*D123)</f>
        <v>0.3</v>
      </c>
    </row>
    <row r="124" spans="1:9" hidden="1" x14ac:dyDescent="0.2">
      <c r="A124" s="41" t="s">
        <v>2364</v>
      </c>
      <c r="B124" s="57" t="s">
        <v>2365</v>
      </c>
      <c r="C124" s="37" t="s">
        <v>2187</v>
      </c>
      <c r="D124" s="38"/>
      <c r="E124" s="11"/>
      <c r="F124" s="12"/>
      <c r="G124" s="14"/>
      <c r="H124" s="28"/>
      <c r="I124" s="29"/>
    </row>
    <row r="125" spans="1:9" x14ac:dyDescent="0.2">
      <c r="A125" s="40" t="s">
        <v>2366</v>
      </c>
      <c r="B125" s="63" t="s">
        <v>2367</v>
      </c>
      <c r="C125" s="37" t="s">
        <v>2149</v>
      </c>
      <c r="D125" s="38">
        <v>1</v>
      </c>
      <c r="E125" s="15">
        <v>0.3</v>
      </c>
      <c r="F125" s="12">
        <v>1</v>
      </c>
      <c r="G125" s="14">
        <f>F125+E125</f>
        <v>1.3</v>
      </c>
      <c r="H125" s="28">
        <f>IF(ISBLANK(#REF!),"",D125*G125)</f>
        <v>1.3</v>
      </c>
      <c r="I125" s="29">
        <f>IF(ISBLANK(#REF!),"",E125*D125)</f>
        <v>0.3</v>
      </c>
    </row>
    <row r="126" spans="1:9" ht="25.5" hidden="1" x14ac:dyDescent="0.2">
      <c r="A126" s="41" t="s">
        <v>2369</v>
      </c>
      <c r="B126" s="57" t="s">
        <v>2370</v>
      </c>
      <c r="C126" s="37" t="s">
        <v>2187</v>
      </c>
      <c r="D126" s="38"/>
      <c r="E126" s="11"/>
      <c r="F126" s="12"/>
      <c r="G126" s="14"/>
      <c r="H126" s="28"/>
      <c r="I126" s="29"/>
    </row>
    <row r="127" spans="1:9" ht="25.5" x14ac:dyDescent="0.2">
      <c r="A127" s="40" t="s">
        <v>2371</v>
      </c>
      <c r="B127" s="63" t="s">
        <v>2082</v>
      </c>
      <c r="C127" s="37" t="s">
        <v>2149</v>
      </c>
      <c r="D127" s="38">
        <v>1</v>
      </c>
      <c r="E127" s="15">
        <v>0.4</v>
      </c>
      <c r="F127" s="12">
        <v>0.5</v>
      </c>
      <c r="G127" s="14">
        <f>F127+E127</f>
        <v>0.9</v>
      </c>
      <c r="H127" s="28">
        <f>IF(ISBLANK(#REF!),"",D127*G127)</f>
        <v>0.9</v>
      </c>
      <c r="I127" s="29">
        <f>IF(ISBLANK(#REF!),"",E127*D127)</f>
        <v>0.4</v>
      </c>
    </row>
    <row r="128" spans="1:9" x14ac:dyDescent="0.2">
      <c r="A128" s="40" t="s">
        <v>2374</v>
      </c>
      <c r="B128" s="63" t="s">
        <v>2083</v>
      </c>
      <c r="C128" s="37" t="s">
        <v>2149</v>
      </c>
      <c r="D128" s="38">
        <v>1</v>
      </c>
      <c r="E128" s="15">
        <v>0</v>
      </c>
      <c r="F128" s="12">
        <v>1.5</v>
      </c>
      <c r="G128" s="14">
        <f>F128+E128</f>
        <v>1.5</v>
      </c>
      <c r="H128" s="28">
        <f>IF(ISBLANK(#REF!),"",D128*G128)</f>
        <v>1.5</v>
      </c>
      <c r="I128" s="29">
        <f>IF(ISBLANK(#REF!),"",E128*D128)</f>
        <v>0</v>
      </c>
    </row>
    <row r="129" spans="1:9" hidden="1" x14ac:dyDescent="0.2">
      <c r="A129" s="35" t="s">
        <v>2377</v>
      </c>
      <c r="B129" s="57" t="s">
        <v>2378</v>
      </c>
      <c r="C129" s="37" t="s">
        <v>2187</v>
      </c>
      <c r="D129" s="38"/>
      <c r="E129" s="11"/>
      <c r="F129" s="12"/>
      <c r="G129" s="14"/>
      <c r="H129" s="28"/>
      <c r="I129" s="29"/>
    </row>
    <row r="130" spans="1:9" ht="25.5" hidden="1" x14ac:dyDescent="0.2">
      <c r="A130" s="39" t="s">
        <v>2379</v>
      </c>
      <c r="B130" s="57" t="s">
        <v>2150</v>
      </c>
      <c r="C130" s="37" t="s">
        <v>2187</v>
      </c>
      <c r="D130" s="38"/>
      <c r="E130" s="11"/>
      <c r="F130" s="12"/>
      <c r="G130" s="14"/>
      <c r="H130" s="28"/>
      <c r="I130" s="29"/>
    </row>
    <row r="131" spans="1:9" hidden="1" x14ac:dyDescent="0.2">
      <c r="A131" s="39" t="s">
        <v>2151</v>
      </c>
      <c r="B131" s="57" t="s">
        <v>2152</v>
      </c>
      <c r="C131" s="37" t="s">
        <v>2187</v>
      </c>
      <c r="D131" s="38"/>
      <c r="E131" s="11"/>
      <c r="F131" s="12"/>
      <c r="G131" s="14"/>
      <c r="H131" s="28"/>
      <c r="I131" s="29"/>
    </row>
    <row r="132" spans="1:9" hidden="1" x14ac:dyDescent="0.2">
      <c r="A132" s="41" t="s">
        <v>2153</v>
      </c>
      <c r="B132" s="57" t="s">
        <v>2154</v>
      </c>
      <c r="C132" s="37" t="s">
        <v>2187</v>
      </c>
      <c r="D132" s="38"/>
      <c r="E132" s="11"/>
      <c r="F132" s="12"/>
      <c r="G132" s="14"/>
      <c r="H132" s="28"/>
      <c r="I132" s="29"/>
    </row>
    <row r="133" spans="1:9" x14ac:dyDescent="0.2">
      <c r="A133" s="42" t="s">
        <v>2155</v>
      </c>
      <c r="B133" s="63" t="s">
        <v>2084</v>
      </c>
      <c r="C133" s="37" t="s">
        <v>2108</v>
      </c>
      <c r="D133" s="38">
        <v>1</v>
      </c>
      <c r="E133" s="15">
        <v>5.5</v>
      </c>
      <c r="F133" s="12">
        <v>7.5</v>
      </c>
      <c r="G133" s="14">
        <f>F133+E133</f>
        <v>13</v>
      </c>
      <c r="H133" s="28">
        <f>IF(ISBLANK(#REF!),"",D133*G133)</f>
        <v>13</v>
      </c>
      <c r="I133" s="29">
        <f>IF(ISBLANK(#REF!),"",E133*D133)</f>
        <v>5.5</v>
      </c>
    </row>
    <row r="134" spans="1:9" hidden="1" x14ac:dyDescent="0.2">
      <c r="A134" s="41" t="s">
        <v>2161</v>
      </c>
      <c r="B134" s="57" t="s">
        <v>2162</v>
      </c>
      <c r="C134" s="37" t="s">
        <v>2187</v>
      </c>
      <c r="D134" s="38"/>
      <c r="E134" s="11"/>
      <c r="F134" s="12"/>
      <c r="G134" s="14"/>
      <c r="H134" s="28"/>
      <c r="I134" s="29"/>
    </row>
    <row r="135" spans="1:9" x14ac:dyDescent="0.2">
      <c r="A135" s="40" t="s">
        <v>2163</v>
      </c>
      <c r="B135" s="63" t="s">
        <v>2164</v>
      </c>
      <c r="C135" s="37" t="s">
        <v>2108</v>
      </c>
      <c r="D135" s="38">
        <v>1</v>
      </c>
      <c r="E135" s="15">
        <v>20</v>
      </c>
      <c r="F135" s="12">
        <v>150</v>
      </c>
      <c r="G135" s="14">
        <f>F135+E135</f>
        <v>170</v>
      </c>
      <c r="H135" s="28">
        <f>IF(ISBLANK(#REF!),"",D135*G135)</f>
        <v>170</v>
      </c>
      <c r="I135" s="29">
        <f>IF(ISBLANK(#REF!),"",E135*D135)</f>
        <v>20</v>
      </c>
    </row>
    <row r="136" spans="1:9" ht="25.5" hidden="1" x14ac:dyDescent="0.2">
      <c r="A136" s="41" t="s">
        <v>2169</v>
      </c>
      <c r="B136" s="57" t="s">
        <v>2085</v>
      </c>
      <c r="C136" s="37" t="s">
        <v>2187</v>
      </c>
      <c r="D136" s="38"/>
      <c r="E136" s="11"/>
      <c r="F136" s="12"/>
      <c r="G136" s="14"/>
      <c r="H136" s="28"/>
      <c r="I136" s="29"/>
    </row>
    <row r="137" spans="1:9" x14ac:dyDescent="0.2">
      <c r="A137" s="40" t="s">
        <v>2174</v>
      </c>
      <c r="B137" s="63" t="s">
        <v>2086</v>
      </c>
      <c r="C137" s="37" t="s">
        <v>2204</v>
      </c>
      <c r="D137" s="38">
        <v>1</v>
      </c>
      <c r="E137" s="15">
        <v>10</v>
      </c>
      <c r="F137" s="12">
        <v>11</v>
      </c>
      <c r="G137" s="14">
        <f>F137+E137</f>
        <v>21</v>
      </c>
      <c r="H137" s="28">
        <f>IF(ISBLANK(#REF!),"",D137*G137)</f>
        <v>21</v>
      </c>
      <c r="I137" s="29">
        <f>IF(ISBLANK(#REF!),"",E137*D137)</f>
        <v>10</v>
      </c>
    </row>
    <row r="138" spans="1:9" x14ac:dyDescent="0.2">
      <c r="A138" s="40" t="s">
        <v>2499</v>
      </c>
      <c r="B138" s="63" t="s">
        <v>2087</v>
      </c>
      <c r="C138" s="37" t="s">
        <v>2204</v>
      </c>
      <c r="D138" s="38">
        <v>1</v>
      </c>
      <c r="E138" s="15">
        <v>12</v>
      </c>
      <c r="F138" s="12">
        <v>11</v>
      </c>
      <c r="G138" s="14">
        <f>F138+E138</f>
        <v>23</v>
      </c>
      <c r="H138" s="28">
        <f>IF(ISBLANK(#REF!),"",D138*G138)</f>
        <v>23</v>
      </c>
      <c r="I138" s="29">
        <f>IF(ISBLANK(#REF!),"",E138*D138)</f>
        <v>12</v>
      </c>
    </row>
    <row r="139" spans="1:9" x14ac:dyDescent="0.2">
      <c r="A139" s="40" t="s">
        <v>2505</v>
      </c>
      <c r="B139" s="63" t="s">
        <v>2506</v>
      </c>
      <c r="C139" s="37" t="s">
        <v>2204</v>
      </c>
      <c r="D139" s="38">
        <v>1</v>
      </c>
      <c r="E139" s="15">
        <v>5.3</v>
      </c>
      <c r="F139" s="12">
        <v>11</v>
      </c>
      <c r="G139" s="14">
        <f>F139+E139</f>
        <v>16.3</v>
      </c>
      <c r="H139" s="28">
        <f>IF(ISBLANK(#REF!),"",D139*G139)</f>
        <v>16.3</v>
      </c>
      <c r="I139" s="29">
        <f>IF(ISBLANK(#REF!),"",E139*D139)</f>
        <v>5.3</v>
      </c>
    </row>
    <row r="140" spans="1:9" ht="25.5" hidden="1" x14ac:dyDescent="0.2">
      <c r="A140" s="41" t="s">
        <v>2511</v>
      </c>
      <c r="B140" s="57" t="s">
        <v>2561</v>
      </c>
      <c r="C140" s="37" t="s">
        <v>2187</v>
      </c>
      <c r="D140" s="38"/>
      <c r="E140" s="11"/>
      <c r="F140" s="12"/>
      <c r="G140" s="14"/>
      <c r="H140" s="28"/>
      <c r="I140" s="29"/>
    </row>
    <row r="141" spans="1:9" x14ac:dyDescent="0.2">
      <c r="A141" s="42" t="s">
        <v>2513</v>
      </c>
      <c r="B141" s="63" t="s">
        <v>2514</v>
      </c>
      <c r="C141" s="37" t="s">
        <v>2108</v>
      </c>
      <c r="D141" s="38">
        <v>1</v>
      </c>
      <c r="E141" s="15">
        <v>57</v>
      </c>
      <c r="F141" s="12">
        <v>30</v>
      </c>
      <c r="G141" s="14">
        <f t="shared" ref="G141:G146" si="0">F141+E141</f>
        <v>87</v>
      </c>
      <c r="H141" s="28">
        <f>IF(ISBLANK(#REF!),"",D141*G141)</f>
        <v>87</v>
      </c>
      <c r="I141" s="29">
        <f>IF(ISBLANK(#REF!),"",E141*D141)</f>
        <v>57</v>
      </c>
    </row>
    <row r="142" spans="1:9" x14ac:dyDescent="0.2">
      <c r="A142" s="42" t="s">
        <v>2031</v>
      </c>
      <c r="B142" s="63" t="s">
        <v>2032</v>
      </c>
      <c r="C142" s="37" t="s">
        <v>2108</v>
      </c>
      <c r="D142" s="38">
        <v>1</v>
      </c>
      <c r="E142" s="15">
        <v>141</v>
      </c>
      <c r="F142" s="12">
        <v>30</v>
      </c>
      <c r="G142" s="14">
        <f t="shared" si="0"/>
        <v>171</v>
      </c>
      <c r="H142" s="28">
        <f>IF(ISBLANK(#REF!),"",D142*G142)</f>
        <v>171</v>
      </c>
      <c r="I142" s="29">
        <f>IF(ISBLANK(#REF!),"",E142*D142)</f>
        <v>141</v>
      </c>
    </row>
    <row r="143" spans="1:9" x14ac:dyDescent="0.2">
      <c r="A143" s="40" t="s">
        <v>2037</v>
      </c>
      <c r="B143" s="63" t="s">
        <v>2038</v>
      </c>
      <c r="C143" s="37" t="s">
        <v>2108</v>
      </c>
      <c r="D143" s="38">
        <v>1</v>
      </c>
      <c r="E143" s="15">
        <v>145</v>
      </c>
      <c r="F143" s="12">
        <v>30</v>
      </c>
      <c r="G143" s="14">
        <f t="shared" si="0"/>
        <v>175</v>
      </c>
      <c r="H143" s="28">
        <f>IF(ISBLANK(#REF!),"",D143*G143)</f>
        <v>175</v>
      </c>
      <c r="I143" s="29">
        <f>IF(ISBLANK(#REF!),"",E143*D143)</f>
        <v>145</v>
      </c>
    </row>
    <row r="144" spans="1:9" x14ac:dyDescent="0.2">
      <c r="A144" s="40" t="s">
        <v>2043</v>
      </c>
      <c r="B144" s="63" t="s">
        <v>2044</v>
      </c>
      <c r="C144" s="37" t="s">
        <v>2108</v>
      </c>
      <c r="D144" s="38">
        <v>1</v>
      </c>
      <c r="E144" s="15">
        <v>33</v>
      </c>
      <c r="F144" s="12">
        <v>30</v>
      </c>
      <c r="G144" s="14">
        <f t="shared" si="0"/>
        <v>63</v>
      </c>
      <c r="H144" s="28">
        <f>IF(ISBLANK(#REF!),"",D144*G144)</f>
        <v>63</v>
      </c>
      <c r="I144" s="29">
        <f>IF(ISBLANK(#REF!),"",E144*D144)</f>
        <v>33</v>
      </c>
    </row>
    <row r="145" spans="1:9" ht="25.5" x14ac:dyDescent="0.2">
      <c r="A145" s="42" t="s">
        <v>1250</v>
      </c>
      <c r="B145" s="63" t="s">
        <v>2562</v>
      </c>
      <c r="C145" s="37" t="s">
        <v>2108</v>
      </c>
      <c r="D145" s="38">
        <v>1</v>
      </c>
      <c r="E145" s="15">
        <v>142</v>
      </c>
      <c r="F145" s="12">
        <v>30</v>
      </c>
      <c r="G145" s="14">
        <f t="shared" si="0"/>
        <v>172</v>
      </c>
      <c r="H145" s="28">
        <f>IF(ISBLANK(#REF!),"",D145*G145)</f>
        <v>172</v>
      </c>
      <c r="I145" s="29">
        <f>IF(ISBLANK(#REF!),"",E145*D145)</f>
        <v>142</v>
      </c>
    </row>
    <row r="146" spans="1:9" x14ac:dyDescent="0.2">
      <c r="A146" s="40" t="s">
        <v>2194</v>
      </c>
      <c r="B146" s="63" t="s">
        <v>2563</v>
      </c>
      <c r="C146" s="37" t="s">
        <v>2108</v>
      </c>
      <c r="D146" s="38">
        <v>1</v>
      </c>
      <c r="E146" s="15">
        <v>15</v>
      </c>
      <c r="F146" s="12">
        <v>20</v>
      </c>
      <c r="G146" s="14">
        <f t="shared" si="0"/>
        <v>35</v>
      </c>
      <c r="H146" s="28">
        <f>IF(ISBLANK(#REF!),"",D146*G146)</f>
        <v>35</v>
      </c>
      <c r="I146" s="29">
        <f>IF(ISBLANK(#REF!),"",E146*D146)</f>
        <v>15</v>
      </c>
    </row>
    <row r="147" spans="1:9" hidden="1" x14ac:dyDescent="0.2">
      <c r="A147" s="41" t="s">
        <v>1724</v>
      </c>
      <c r="B147" s="57" t="s">
        <v>1725</v>
      </c>
      <c r="C147" s="37" t="s">
        <v>2187</v>
      </c>
      <c r="D147" s="38"/>
      <c r="E147" s="11"/>
      <c r="F147" s="12"/>
      <c r="G147" s="14"/>
      <c r="H147" s="28"/>
      <c r="I147" s="29"/>
    </row>
    <row r="148" spans="1:9" x14ac:dyDescent="0.2">
      <c r="A148" s="40" t="s">
        <v>1726</v>
      </c>
      <c r="B148" s="63" t="s">
        <v>1727</v>
      </c>
      <c r="C148" s="37" t="s">
        <v>2108</v>
      </c>
      <c r="D148" s="38">
        <v>1</v>
      </c>
      <c r="E148" s="15">
        <v>0</v>
      </c>
      <c r="F148" s="12">
        <v>0</v>
      </c>
      <c r="G148" s="14">
        <f>F148+E148</f>
        <v>0</v>
      </c>
      <c r="H148" s="28">
        <f>IF(ISBLANK(#REF!),"",D148*G148)</f>
        <v>0</v>
      </c>
      <c r="I148" s="29">
        <f>IF(ISBLANK(#REF!),"",E148*D148)</f>
        <v>0</v>
      </c>
    </row>
    <row r="149" spans="1:9" hidden="1" x14ac:dyDescent="0.2">
      <c r="A149" s="41" t="s">
        <v>1729</v>
      </c>
      <c r="B149" s="57" t="s">
        <v>1730</v>
      </c>
      <c r="C149" s="37" t="s">
        <v>2187</v>
      </c>
      <c r="D149" s="38"/>
      <c r="E149" s="11"/>
      <c r="F149" s="12"/>
      <c r="G149" s="14"/>
      <c r="H149" s="28"/>
      <c r="I149" s="29"/>
    </row>
    <row r="150" spans="1:9" x14ac:dyDescent="0.2">
      <c r="A150" s="40" t="s">
        <v>1731</v>
      </c>
      <c r="B150" s="63" t="s">
        <v>1732</v>
      </c>
      <c r="C150" s="37" t="s">
        <v>522</v>
      </c>
      <c r="D150" s="38">
        <v>1</v>
      </c>
      <c r="E150" s="15">
        <v>52</v>
      </c>
      <c r="F150" s="12">
        <v>20</v>
      </c>
      <c r="G150" s="14">
        <f>F150+E150</f>
        <v>72</v>
      </c>
      <c r="H150" s="28">
        <f>IF(ISBLANK(#REF!),"",D150*G150)</f>
        <v>72</v>
      </c>
      <c r="I150" s="29">
        <f>IF(ISBLANK(#REF!),"",E150*D150)</f>
        <v>52</v>
      </c>
    </row>
    <row r="151" spans="1:9" hidden="1" x14ac:dyDescent="0.2">
      <c r="A151" s="39" t="s">
        <v>1734</v>
      </c>
      <c r="B151" s="57" t="s">
        <v>1735</v>
      </c>
      <c r="C151" s="37" t="s">
        <v>2187</v>
      </c>
      <c r="D151" s="38"/>
      <c r="E151" s="11"/>
      <c r="F151" s="12"/>
      <c r="G151" s="14"/>
      <c r="H151" s="28"/>
      <c r="I151" s="29"/>
    </row>
    <row r="152" spans="1:9" hidden="1" x14ac:dyDescent="0.2">
      <c r="A152" s="41" t="s">
        <v>1736</v>
      </c>
      <c r="B152" s="57" t="s">
        <v>1737</v>
      </c>
      <c r="C152" s="37" t="s">
        <v>2187</v>
      </c>
      <c r="D152" s="38"/>
      <c r="E152" s="11"/>
      <c r="F152" s="12"/>
      <c r="G152" s="14"/>
      <c r="H152" s="28"/>
      <c r="I152" s="29"/>
    </row>
    <row r="153" spans="1:9" x14ac:dyDescent="0.2">
      <c r="A153" s="42" t="s">
        <v>1738</v>
      </c>
      <c r="B153" s="63" t="s">
        <v>1739</v>
      </c>
      <c r="C153" s="37" t="s">
        <v>2108</v>
      </c>
      <c r="D153" s="38">
        <v>1</v>
      </c>
      <c r="E153" s="15">
        <v>100</v>
      </c>
      <c r="F153" s="12">
        <v>62</v>
      </c>
      <c r="G153" s="14">
        <f>F153+E153</f>
        <v>162</v>
      </c>
      <c r="H153" s="28">
        <f>IF(ISBLANK(#REF!),"",D153*G153)</f>
        <v>162</v>
      </c>
      <c r="I153" s="29">
        <f>IF(ISBLANK(#REF!),"",E153*D153)</f>
        <v>100</v>
      </c>
    </row>
    <row r="154" spans="1:9" ht="25.5" x14ac:dyDescent="0.2">
      <c r="A154" s="42" t="s">
        <v>1744</v>
      </c>
      <c r="B154" s="63" t="s">
        <v>1745</v>
      </c>
      <c r="C154" s="37" t="s">
        <v>2192</v>
      </c>
      <c r="D154" s="38">
        <v>1</v>
      </c>
      <c r="E154" s="15">
        <v>15</v>
      </c>
      <c r="F154" s="12">
        <v>220</v>
      </c>
      <c r="G154" s="14">
        <f>F154+E154</f>
        <v>235</v>
      </c>
      <c r="H154" s="28">
        <f>IF(ISBLANK(#REF!),"",D154*G154)</f>
        <v>235</v>
      </c>
      <c r="I154" s="29">
        <f>IF(ISBLANK(#REF!),"",E154*D154)</f>
        <v>15</v>
      </c>
    </row>
    <row r="155" spans="1:9" hidden="1" x14ac:dyDescent="0.2">
      <c r="A155" s="41" t="s">
        <v>1749</v>
      </c>
      <c r="B155" s="57" t="s">
        <v>318</v>
      </c>
      <c r="C155" s="37" t="s">
        <v>2187</v>
      </c>
      <c r="D155" s="38"/>
      <c r="E155" s="11"/>
      <c r="F155" s="12"/>
      <c r="G155" s="14"/>
      <c r="H155" s="28"/>
      <c r="I155" s="29"/>
    </row>
    <row r="156" spans="1:9" ht="25.5" x14ac:dyDescent="0.2">
      <c r="A156" s="40" t="s">
        <v>1751</v>
      </c>
      <c r="B156" s="63" t="s">
        <v>319</v>
      </c>
      <c r="C156" s="37" t="s">
        <v>2204</v>
      </c>
      <c r="D156" s="38">
        <v>1</v>
      </c>
      <c r="E156" s="15">
        <v>9</v>
      </c>
      <c r="F156" s="12">
        <v>16</v>
      </c>
      <c r="G156" s="14">
        <f>F156+E156</f>
        <v>25</v>
      </c>
      <c r="H156" s="28">
        <f>IF(ISBLANK(#REF!),"",D156*G156)</f>
        <v>25</v>
      </c>
      <c r="I156" s="29">
        <f>IF(ISBLANK(#REF!),"",E156*D156)</f>
        <v>9</v>
      </c>
    </row>
    <row r="157" spans="1:9" ht="25.5" x14ac:dyDescent="0.2">
      <c r="A157" s="42" t="s">
        <v>2433</v>
      </c>
      <c r="B157" s="63" t="s">
        <v>320</v>
      </c>
      <c r="C157" s="37" t="s">
        <v>2204</v>
      </c>
      <c r="D157" s="38">
        <v>1</v>
      </c>
      <c r="E157" s="15">
        <v>10</v>
      </c>
      <c r="F157" s="12">
        <v>16</v>
      </c>
      <c r="G157" s="14">
        <f>F157+E157</f>
        <v>26</v>
      </c>
      <c r="H157" s="28">
        <f>IF(ISBLANK(#REF!),"",D157*G157)</f>
        <v>26</v>
      </c>
      <c r="I157" s="29">
        <f>IF(ISBLANK(#REF!),"",E157*D157)</f>
        <v>10</v>
      </c>
    </row>
    <row r="158" spans="1:9" hidden="1" x14ac:dyDescent="0.2">
      <c r="A158" s="41" t="s">
        <v>2436</v>
      </c>
      <c r="B158" s="57" t="s">
        <v>2437</v>
      </c>
      <c r="C158" s="37" t="s">
        <v>2187</v>
      </c>
      <c r="D158" s="38"/>
      <c r="E158" s="11"/>
      <c r="F158" s="12"/>
      <c r="G158" s="14"/>
      <c r="H158" s="28"/>
      <c r="I158" s="29"/>
    </row>
    <row r="159" spans="1:9" ht="25.5" x14ac:dyDescent="0.2">
      <c r="A159" s="40" t="s">
        <v>2438</v>
      </c>
      <c r="B159" s="63" t="s">
        <v>321</v>
      </c>
      <c r="C159" s="37" t="s">
        <v>2108</v>
      </c>
      <c r="D159" s="38">
        <v>1</v>
      </c>
      <c r="E159" s="15">
        <v>200</v>
      </c>
      <c r="F159" s="12">
        <v>80</v>
      </c>
      <c r="G159" s="14">
        <f>F159+E159</f>
        <v>280</v>
      </c>
      <c r="H159" s="28">
        <f>IF(ISBLANK(#REF!),"",D159*G159)</f>
        <v>280</v>
      </c>
      <c r="I159" s="29">
        <f>IF(ISBLANK(#REF!),"",E159*D159)</f>
        <v>200</v>
      </c>
    </row>
    <row r="160" spans="1:9" hidden="1" x14ac:dyDescent="0.2">
      <c r="A160" s="41" t="s">
        <v>2293</v>
      </c>
      <c r="B160" s="57" t="s">
        <v>2294</v>
      </c>
      <c r="C160" s="37" t="s">
        <v>2187</v>
      </c>
      <c r="D160" s="38"/>
      <c r="E160" s="11"/>
      <c r="F160" s="12"/>
      <c r="G160" s="14"/>
      <c r="H160" s="28"/>
      <c r="I160" s="29"/>
    </row>
    <row r="161" spans="1:9" ht="25.5" x14ac:dyDescent="0.2">
      <c r="A161" s="42" t="s">
        <v>2295</v>
      </c>
      <c r="B161" s="63" t="s">
        <v>2296</v>
      </c>
      <c r="C161" s="37" t="s">
        <v>2108</v>
      </c>
      <c r="D161" s="38">
        <v>1</v>
      </c>
      <c r="E161" s="15">
        <v>20</v>
      </c>
      <c r="F161" s="12">
        <v>120</v>
      </c>
      <c r="G161" s="14">
        <f>F161+E161</f>
        <v>140</v>
      </c>
      <c r="H161" s="28">
        <f>IF(ISBLANK(#REF!),"",D161*G161)</f>
        <v>140</v>
      </c>
      <c r="I161" s="29">
        <f>IF(ISBLANK(#REF!),"",E161*D161)</f>
        <v>20</v>
      </c>
    </row>
    <row r="162" spans="1:9" ht="25.5" x14ac:dyDescent="0.2">
      <c r="A162" s="40" t="s">
        <v>2298</v>
      </c>
      <c r="B162" s="63" t="s">
        <v>2299</v>
      </c>
      <c r="C162" s="37" t="s">
        <v>2108</v>
      </c>
      <c r="D162" s="38">
        <v>1</v>
      </c>
      <c r="E162" s="15">
        <v>2500</v>
      </c>
      <c r="F162" s="12">
        <v>120</v>
      </c>
      <c r="G162" s="14">
        <f>F162+E162</f>
        <v>2620</v>
      </c>
      <c r="H162" s="28">
        <f>IF(ISBLANK(#REF!),"",D162*G162)</f>
        <v>2620</v>
      </c>
      <c r="I162" s="29">
        <f>IF(ISBLANK(#REF!),"",E162*D162)</f>
        <v>2500</v>
      </c>
    </row>
    <row r="163" spans="1:9" hidden="1" x14ac:dyDescent="0.2">
      <c r="A163" s="39" t="s">
        <v>2301</v>
      </c>
      <c r="B163" s="57" t="s">
        <v>2302</v>
      </c>
      <c r="C163" s="37" t="s">
        <v>2187</v>
      </c>
      <c r="D163" s="38"/>
      <c r="E163" s="11"/>
      <c r="F163" s="12"/>
      <c r="G163" s="14"/>
      <c r="H163" s="28"/>
      <c r="I163" s="29"/>
    </row>
    <row r="164" spans="1:9" hidden="1" x14ac:dyDescent="0.2">
      <c r="A164" s="41" t="s">
        <v>2303</v>
      </c>
      <c r="B164" s="57" t="s">
        <v>2304</v>
      </c>
      <c r="C164" s="37" t="s">
        <v>2187</v>
      </c>
      <c r="D164" s="38"/>
      <c r="E164" s="11"/>
      <c r="F164" s="12"/>
      <c r="G164" s="14"/>
      <c r="H164" s="28"/>
      <c r="I164" s="29"/>
    </row>
    <row r="165" spans="1:9" x14ac:dyDescent="0.2">
      <c r="A165" s="40" t="s">
        <v>2305</v>
      </c>
      <c r="B165" s="63" t="s">
        <v>322</v>
      </c>
      <c r="C165" s="44" t="s">
        <v>2108</v>
      </c>
      <c r="D165" s="38">
        <v>1</v>
      </c>
      <c r="E165" s="15">
        <v>150</v>
      </c>
      <c r="F165" s="12">
        <v>31</v>
      </c>
      <c r="G165" s="14">
        <f t="shared" ref="G165:G175" si="1">F165+E165</f>
        <v>181</v>
      </c>
      <c r="H165" s="28">
        <f>IF(ISBLANK(#REF!),"",D165*G165)</f>
        <v>181</v>
      </c>
      <c r="I165" s="29">
        <f>IF(ISBLANK(#REF!),"",E165*D165)</f>
        <v>150</v>
      </c>
    </row>
    <row r="166" spans="1:9" hidden="1" x14ac:dyDescent="0.2">
      <c r="A166" s="40" t="s">
        <v>2305</v>
      </c>
      <c r="B166" s="59" t="s">
        <v>323</v>
      </c>
      <c r="C166" s="44" t="s">
        <v>2108</v>
      </c>
      <c r="D166" s="38">
        <v>1</v>
      </c>
      <c r="E166" s="15">
        <v>120</v>
      </c>
      <c r="F166" s="12">
        <v>31</v>
      </c>
      <c r="G166" s="14">
        <f t="shared" si="1"/>
        <v>151</v>
      </c>
      <c r="H166" s="30"/>
      <c r="I166" s="19"/>
    </row>
    <row r="167" spans="1:9" hidden="1" x14ac:dyDescent="0.2">
      <c r="A167" s="40" t="s">
        <v>2305</v>
      </c>
      <c r="B167" s="59" t="s">
        <v>328</v>
      </c>
      <c r="C167" s="44" t="s">
        <v>2108</v>
      </c>
      <c r="D167" s="38">
        <v>1</v>
      </c>
      <c r="E167" s="15">
        <v>140</v>
      </c>
      <c r="F167" s="12">
        <v>31</v>
      </c>
      <c r="G167" s="14">
        <f t="shared" si="1"/>
        <v>171</v>
      </c>
      <c r="H167" s="30"/>
      <c r="I167" s="19"/>
    </row>
    <row r="168" spans="1:9" ht="25.5" x14ac:dyDescent="0.2">
      <c r="A168" s="42" t="s">
        <v>2323</v>
      </c>
      <c r="B168" s="63" t="s">
        <v>324</v>
      </c>
      <c r="C168" s="44" t="s">
        <v>2108</v>
      </c>
      <c r="D168" s="38">
        <v>1</v>
      </c>
      <c r="E168" s="15">
        <v>200</v>
      </c>
      <c r="F168" s="12">
        <v>62</v>
      </c>
      <c r="G168" s="14">
        <f t="shared" si="1"/>
        <v>262</v>
      </c>
      <c r="H168" s="28">
        <f>IF(ISBLANK(#REF!),"",D168*G168)</f>
        <v>262</v>
      </c>
      <c r="I168" s="29">
        <f>IF(ISBLANK(#REF!),"",E168*D168)</f>
        <v>200</v>
      </c>
    </row>
    <row r="169" spans="1:9" ht="25.5" hidden="1" x14ac:dyDescent="0.2">
      <c r="A169" s="42" t="s">
        <v>2323</v>
      </c>
      <c r="B169" s="58" t="s">
        <v>325</v>
      </c>
      <c r="C169" s="44" t="s">
        <v>2108</v>
      </c>
      <c r="D169" s="38">
        <v>1</v>
      </c>
      <c r="E169" s="15">
        <v>700</v>
      </c>
      <c r="F169" s="12">
        <v>93</v>
      </c>
      <c r="G169" s="14">
        <f t="shared" si="1"/>
        <v>793</v>
      </c>
      <c r="H169" s="30"/>
      <c r="I169" s="19"/>
    </row>
    <row r="170" spans="1:9" ht="25.5" x14ac:dyDescent="0.2">
      <c r="A170" s="40" t="s">
        <v>2329</v>
      </c>
      <c r="B170" s="63" t="s">
        <v>326</v>
      </c>
      <c r="C170" s="37" t="s">
        <v>2108</v>
      </c>
      <c r="D170" s="38">
        <v>1</v>
      </c>
      <c r="E170" s="15">
        <v>30</v>
      </c>
      <c r="F170" s="12">
        <v>62</v>
      </c>
      <c r="G170" s="14">
        <f t="shared" si="1"/>
        <v>92</v>
      </c>
      <c r="H170" s="28">
        <f>IF(ISBLANK(#REF!),"",D170*G170)</f>
        <v>92</v>
      </c>
      <c r="I170" s="29">
        <f>IF(ISBLANK(#REF!),"",E170*D170)</f>
        <v>30</v>
      </c>
    </row>
    <row r="171" spans="1:9" ht="25.5" hidden="1" x14ac:dyDescent="0.2">
      <c r="A171" s="40" t="s">
        <v>2329</v>
      </c>
      <c r="B171" s="58" t="s">
        <v>327</v>
      </c>
      <c r="C171" s="37" t="s">
        <v>2108</v>
      </c>
      <c r="D171" s="38">
        <v>1</v>
      </c>
      <c r="E171" s="15">
        <v>40</v>
      </c>
      <c r="F171" s="12">
        <v>62</v>
      </c>
      <c r="G171" s="14">
        <f t="shared" si="1"/>
        <v>102</v>
      </c>
      <c r="H171" s="28"/>
      <c r="I171" s="29"/>
    </row>
    <row r="172" spans="1:9" x14ac:dyDescent="0.2">
      <c r="A172" s="42" t="s">
        <v>2342</v>
      </c>
      <c r="B172" s="63" t="s">
        <v>329</v>
      </c>
      <c r="C172" s="37" t="s">
        <v>2108</v>
      </c>
      <c r="D172" s="38">
        <v>1</v>
      </c>
      <c r="E172" s="15">
        <v>8.4</v>
      </c>
      <c r="F172" s="12">
        <v>31</v>
      </c>
      <c r="G172" s="14">
        <f t="shared" si="1"/>
        <v>39.4</v>
      </c>
      <c r="H172" s="28">
        <f>IF(ISBLANK(#REF!),"",D172*G172)</f>
        <v>39.4</v>
      </c>
      <c r="I172" s="29">
        <f>IF(ISBLANK(#REF!),"",E172*D172)</f>
        <v>8.4</v>
      </c>
    </row>
    <row r="173" spans="1:9" hidden="1" x14ac:dyDescent="0.2">
      <c r="A173" s="42" t="s">
        <v>2342</v>
      </c>
      <c r="B173" s="58" t="s">
        <v>330</v>
      </c>
      <c r="C173" s="37" t="s">
        <v>2108</v>
      </c>
      <c r="D173" s="38">
        <v>1</v>
      </c>
      <c r="E173" s="15">
        <v>70</v>
      </c>
      <c r="F173" s="12">
        <v>31</v>
      </c>
      <c r="G173" s="14">
        <f t="shared" si="1"/>
        <v>101</v>
      </c>
      <c r="H173" s="28"/>
      <c r="I173" s="29"/>
    </row>
    <row r="174" spans="1:9" x14ac:dyDescent="0.2">
      <c r="A174" s="42" t="s">
        <v>1678</v>
      </c>
      <c r="B174" s="63" t="s">
        <v>331</v>
      </c>
      <c r="C174" s="37" t="s">
        <v>2108</v>
      </c>
      <c r="D174" s="38">
        <v>1</v>
      </c>
      <c r="E174" s="15">
        <v>7</v>
      </c>
      <c r="F174" s="12">
        <v>15</v>
      </c>
      <c r="G174" s="14">
        <f t="shared" si="1"/>
        <v>22</v>
      </c>
      <c r="H174" s="28">
        <f>IF(ISBLANK(#REF!),"",D174*G174)</f>
        <v>22</v>
      </c>
      <c r="I174" s="29">
        <f>IF(ISBLANK(#REF!),"",E174*D174)</f>
        <v>7</v>
      </c>
    </row>
    <row r="175" spans="1:9" hidden="1" x14ac:dyDescent="0.2">
      <c r="A175" s="42" t="s">
        <v>1678</v>
      </c>
      <c r="B175" s="58" t="s">
        <v>332</v>
      </c>
      <c r="C175" s="37" t="s">
        <v>2108</v>
      </c>
      <c r="D175" s="38">
        <v>1</v>
      </c>
      <c r="E175" s="15">
        <v>4</v>
      </c>
      <c r="F175" s="12">
        <v>15</v>
      </c>
      <c r="G175" s="14">
        <f t="shared" si="1"/>
        <v>19</v>
      </c>
      <c r="H175" s="28"/>
      <c r="I175" s="29"/>
    </row>
    <row r="176" spans="1:9" ht="25.5" hidden="1" x14ac:dyDescent="0.2">
      <c r="A176" s="41" t="s">
        <v>1681</v>
      </c>
      <c r="B176" s="57" t="s">
        <v>204</v>
      </c>
      <c r="C176" s="37" t="s">
        <v>2187</v>
      </c>
      <c r="D176" s="38"/>
      <c r="E176" s="11"/>
      <c r="F176" s="12"/>
      <c r="G176" s="14"/>
      <c r="H176" s="28"/>
      <c r="I176" s="29"/>
    </row>
    <row r="177" spans="1:9" ht="25.5" x14ac:dyDescent="0.2">
      <c r="A177" s="42" t="s">
        <v>1683</v>
      </c>
      <c r="B177" s="63" t="s">
        <v>333</v>
      </c>
      <c r="C177" s="37" t="s">
        <v>2204</v>
      </c>
      <c r="D177" s="38">
        <v>1</v>
      </c>
      <c r="E177" s="15">
        <v>1</v>
      </c>
      <c r="F177" s="12">
        <v>1</v>
      </c>
      <c r="G177" s="14">
        <f>F177+E177</f>
        <v>2</v>
      </c>
      <c r="H177" s="28">
        <f>IF(ISBLANK(#REF!),"",D177*G177)</f>
        <v>2</v>
      </c>
      <c r="I177" s="29">
        <f>IF(ISBLANK(#REF!),"",E177*D177)</f>
        <v>1</v>
      </c>
    </row>
    <row r="178" spans="1:9" ht="25.5" x14ac:dyDescent="0.2">
      <c r="A178" s="40" t="s">
        <v>1686</v>
      </c>
      <c r="B178" s="63" t="s">
        <v>334</v>
      </c>
      <c r="C178" s="44" t="s">
        <v>2204</v>
      </c>
      <c r="D178" s="38">
        <v>1</v>
      </c>
      <c r="E178" s="15">
        <v>1.06</v>
      </c>
      <c r="F178" s="12">
        <v>1</v>
      </c>
      <c r="G178" s="14">
        <f>F178+E178</f>
        <v>2.06</v>
      </c>
      <c r="H178" s="28">
        <f>IF(ISBLANK(#REF!),"",D178*G178)</f>
        <v>2.06</v>
      </c>
      <c r="I178" s="29">
        <f>IF(ISBLANK(#REF!),"",E178*D178)</f>
        <v>1.06</v>
      </c>
    </row>
    <row r="179" spans="1:9" ht="25.5" x14ac:dyDescent="0.2">
      <c r="A179" s="40" t="s">
        <v>1692</v>
      </c>
      <c r="B179" s="63" t="s">
        <v>335</v>
      </c>
      <c r="C179" s="37" t="s">
        <v>2204</v>
      </c>
      <c r="D179" s="38">
        <v>1</v>
      </c>
      <c r="E179" s="15">
        <v>0.7</v>
      </c>
      <c r="F179" s="12">
        <v>1</v>
      </c>
      <c r="G179" s="14">
        <f>F179+E179</f>
        <v>1.7</v>
      </c>
      <c r="H179" s="28">
        <f>IF(ISBLANK(#REF!),"",D179*G179)</f>
        <v>1.7</v>
      </c>
      <c r="I179" s="29">
        <f>IF(ISBLANK(#REF!),"",E179*D179)</f>
        <v>0.7</v>
      </c>
    </row>
    <row r="180" spans="1:9" hidden="1" x14ac:dyDescent="0.2">
      <c r="A180" s="41" t="s">
        <v>1323</v>
      </c>
      <c r="B180" s="57" t="s">
        <v>1324</v>
      </c>
      <c r="C180" s="37" t="s">
        <v>2187</v>
      </c>
      <c r="D180" s="38"/>
      <c r="E180" s="11"/>
      <c r="F180" s="12"/>
      <c r="G180" s="14"/>
      <c r="H180" s="28"/>
      <c r="I180" s="29"/>
    </row>
    <row r="181" spans="1:9" x14ac:dyDescent="0.2">
      <c r="A181" s="40" t="s">
        <v>1325</v>
      </c>
      <c r="B181" s="63" t="s">
        <v>336</v>
      </c>
      <c r="C181" s="37" t="s">
        <v>2204</v>
      </c>
      <c r="D181" s="38">
        <v>1</v>
      </c>
      <c r="E181" s="15">
        <v>0.5</v>
      </c>
      <c r="F181" s="12">
        <v>1</v>
      </c>
      <c r="G181" s="14">
        <f>F181+E181</f>
        <v>1.5</v>
      </c>
      <c r="H181" s="28">
        <f>IF(ISBLANK(#REF!),"",D181*G181)</f>
        <v>1.5</v>
      </c>
      <c r="I181" s="29">
        <f>IF(ISBLANK(#REF!),"",E181*D181)</f>
        <v>0.5</v>
      </c>
    </row>
    <row r="182" spans="1:9" hidden="1" x14ac:dyDescent="0.2">
      <c r="A182" s="40" t="s">
        <v>1325</v>
      </c>
      <c r="B182" s="58" t="s">
        <v>337</v>
      </c>
      <c r="C182" s="37" t="s">
        <v>2204</v>
      </c>
      <c r="D182" s="38">
        <v>1</v>
      </c>
      <c r="E182" s="15">
        <v>1.2</v>
      </c>
      <c r="F182" s="12">
        <v>1</v>
      </c>
      <c r="G182" s="14">
        <f>F182+E182</f>
        <v>2.2000000000000002</v>
      </c>
      <c r="H182" s="30"/>
      <c r="I182" s="19"/>
    </row>
    <row r="183" spans="1:9" ht="25.5" x14ac:dyDescent="0.2">
      <c r="A183" s="40" t="s">
        <v>1711</v>
      </c>
      <c r="B183" s="63" t="s">
        <v>338</v>
      </c>
      <c r="C183" s="37" t="s">
        <v>2108</v>
      </c>
      <c r="D183" s="38">
        <v>1</v>
      </c>
      <c r="E183" s="15">
        <v>10.199999999999999</v>
      </c>
      <c r="F183" s="12">
        <v>62</v>
      </c>
      <c r="G183" s="14">
        <f>F183+E183</f>
        <v>72.2</v>
      </c>
      <c r="H183" s="28">
        <f>IF(ISBLANK(#REF!),"",D183*G183)</f>
        <v>72.2</v>
      </c>
      <c r="I183" s="29">
        <f>IF(ISBLANK(#REF!),"",E183*D183)</f>
        <v>10.199999999999999</v>
      </c>
    </row>
    <row r="184" spans="1:9" ht="25.5" hidden="1" x14ac:dyDescent="0.2">
      <c r="A184" s="40" t="s">
        <v>1711</v>
      </c>
      <c r="B184" s="58" t="s">
        <v>339</v>
      </c>
      <c r="C184" s="37" t="s">
        <v>2108</v>
      </c>
      <c r="D184" s="38">
        <v>1</v>
      </c>
      <c r="E184" s="15">
        <v>5</v>
      </c>
      <c r="F184" s="12">
        <v>31</v>
      </c>
      <c r="G184" s="14">
        <f>F184+E184</f>
        <v>36</v>
      </c>
      <c r="H184" s="30"/>
      <c r="I184" s="19"/>
    </row>
    <row r="185" spans="1:9" ht="25.5" hidden="1" x14ac:dyDescent="0.2">
      <c r="A185" s="40" t="s">
        <v>1711</v>
      </c>
      <c r="B185" s="58" t="s">
        <v>340</v>
      </c>
      <c r="C185" s="37" t="s">
        <v>2108</v>
      </c>
      <c r="D185" s="38">
        <v>1</v>
      </c>
      <c r="E185" s="15">
        <v>25</v>
      </c>
      <c r="F185" s="12">
        <v>62</v>
      </c>
      <c r="G185" s="14">
        <f>F185+E185</f>
        <v>87</v>
      </c>
      <c r="H185" s="30"/>
      <c r="I185" s="19"/>
    </row>
    <row r="186" spans="1:9" hidden="1" x14ac:dyDescent="0.2">
      <c r="A186" s="17"/>
      <c r="B186" s="59"/>
      <c r="C186" s="18"/>
      <c r="D186" s="19"/>
      <c r="E186" s="17"/>
      <c r="F186" s="18"/>
      <c r="G186" s="19"/>
      <c r="H186" s="17"/>
      <c r="I186" s="19"/>
    </row>
    <row r="187" spans="1:9" hidden="1" x14ac:dyDescent="0.2">
      <c r="A187" s="35" t="s">
        <v>2192</v>
      </c>
      <c r="B187" s="57" t="s">
        <v>1343</v>
      </c>
      <c r="C187" s="37" t="s">
        <v>2187</v>
      </c>
      <c r="D187" s="38"/>
      <c r="E187" s="11"/>
      <c r="F187" s="12"/>
      <c r="G187" s="13"/>
      <c r="H187" s="28"/>
      <c r="I187" s="29"/>
    </row>
    <row r="188" spans="1:9" hidden="1" x14ac:dyDescent="0.2">
      <c r="A188" s="39" t="s">
        <v>1344</v>
      </c>
      <c r="B188" s="57" t="s">
        <v>1345</v>
      </c>
      <c r="C188" s="44" t="s">
        <v>2187</v>
      </c>
      <c r="D188" s="45"/>
      <c r="E188" s="20"/>
      <c r="F188" s="21"/>
      <c r="G188" s="22"/>
      <c r="H188" s="31"/>
      <c r="I188" s="32"/>
    </row>
    <row r="189" spans="1:9" hidden="1" x14ac:dyDescent="0.2">
      <c r="A189" s="41" t="s">
        <v>1346</v>
      </c>
      <c r="B189" s="57" t="s">
        <v>1347</v>
      </c>
      <c r="C189" s="44" t="s">
        <v>2187</v>
      </c>
      <c r="D189" s="45"/>
      <c r="E189" s="20"/>
      <c r="F189" s="21"/>
      <c r="G189" s="22"/>
      <c r="H189" s="31"/>
      <c r="I189" s="32"/>
    </row>
    <row r="190" spans="1:9" x14ac:dyDescent="0.2">
      <c r="A190" s="40" t="s">
        <v>1348</v>
      </c>
      <c r="B190" s="63" t="s">
        <v>1349</v>
      </c>
      <c r="C190" s="44" t="s">
        <v>1946</v>
      </c>
      <c r="D190" s="38">
        <v>1</v>
      </c>
      <c r="E190" s="15">
        <v>30</v>
      </c>
      <c r="F190" s="12">
        <v>10</v>
      </c>
      <c r="G190" s="14">
        <f>F190+E190</f>
        <v>40</v>
      </c>
      <c r="H190" s="28">
        <f>IF(ISBLANK(#REF!),"",D190*G190)</f>
        <v>40</v>
      </c>
      <c r="I190" s="29">
        <f>IF(ISBLANK(#REF!),"",E190*D190)</f>
        <v>30</v>
      </c>
    </row>
    <row r="191" spans="1:9" hidden="1" x14ac:dyDescent="0.2">
      <c r="A191" s="41" t="s">
        <v>1351</v>
      </c>
      <c r="B191" s="57" t="s">
        <v>1352</v>
      </c>
      <c r="C191" s="44" t="s">
        <v>2187</v>
      </c>
      <c r="D191" s="45"/>
      <c r="E191" s="20"/>
      <c r="F191" s="12"/>
      <c r="G191" s="14"/>
      <c r="H191" s="31"/>
      <c r="I191" s="32"/>
    </row>
    <row r="192" spans="1:9" x14ac:dyDescent="0.2">
      <c r="A192" s="40" t="s">
        <v>1353</v>
      </c>
      <c r="B192" s="63" t="s">
        <v>1354</v>
      </c>
      <c r="C192" s="44" t="s">
        <v>1946</v>
      </c>
      <c r="D192" s="38">
        <v>1</v>
      </c>
      <c r="E192" s="15">
        <v>10</v>
      </c>
      <c r="F192" s="12">
        <v>25</v>
      </c>
      <c r="G192" s="14">
        <f>F192+E192</f>
        <v>35</v>
      </c>
      <c r="H192" s="28">
        <f>IF(ISBLANK(#REF!),"",D192*G192)</f>
        <v>35</v>
      </c>
      <c r="I192" s="29">
        <f>IF(ISBLANK(#REF!),"",E192*D192)</f>
        <v>10</v>
      </c>
    </row>
    <row r="193" spans="1:9" hidden="1" x14ac:dyDescent="0.2">
      <c r="A193" s="41" t="s">
        <v>1356</v>
      </c>
      <c r="B193" s="57" t="s">
        <v>1357</v>
      </c>
      <c r="C193" s="44" t="s">
        <v>2187</v>
      </c>
      <c r="D193" s="45"/>
      <c r="E193" s="20"/>
      <c r="F193" s="12"/>
      <c r="G193" s="14"/>
      <c r="H193" s="31"/>
      <c r="I193" s="32"/>
    </row>
    <row r="194" spans="1:9" x14ac:dyDescent="0.2">
      <c r="A194" s="42" t="s">
        <v>1358</v>
      </c>
      <c r="B194" s="63" t="s">
        <v>1359</v>
      </c>
      <c r="C194" s="44" t="s">
        <v>1946</v>
      </c>
      <c r="D194" s="38">
        <v>1</v>
      </c>
      <c r="E194" s="15">
        <v>40</v>
      </c>
      <c r="F194" s="12">
        <v>40</v>
      </c>
      <c r="G194" s="14">
        <f>F194+E194</f>
        <v>80</v>
      </c>
      <c r="H194" s="28">
        <f>IF(ISBLANK(#REF!),"",D194*G194)</f>
        <v>80</v>
      </c>
      <c r="I194" s="29">
        <f>IF(ISBLANK(#REF!),"",E194*D194)</f>
        <v>40</v>
      </c>
    </row>
    <row r="195" spans="1:9" hidden="1" x14ac:dyDescent="0.2">
      <c r="A195" s="41" t="s">
        <v>1361</v>
      </c>
      <c r="B195" s="57" t="s">
        <v>1362</v>
      </c>
      <c r="C195" s="44" t="s">
        <v>2187</v>
      </c>
      <c r="D195" s="45"/>
      <c r="E195" s="20"/>
      <c r="F195" s="12"/>
      <c r="G195" s="14"/>
      <c r="H195" s="31"/>
      <c r="I195" s="32"/>
    </row>
    <row r="196" spans="1:9" x14ac:dyDescent="0.2">
      <c r="A196" s="40" t="s">
        <v>1363</v>
      </c>
      <c r="B196" s="63" t="s">
        <v>1364</v>
      </c>
      <c r="C196" s="44" t="s">
        <v>1946</v>
      </c>
      <c r="D196" s="38">
        <v>1</v>
      </c>
      <c r="E196" s="15">
        <v>37</v>
      </c>
      <c r="F196" s="12">
        <v>30</v>
      </c>
      <c r="G196" s="14">
        <f>F196+E196</f>
        <v>67</v>
      </c>
      <c r="H196" s="28">
        <f>IF(ISBLANK(#REF!),"",D196*G196)</f>
        <v>67</v>
      </c>
      <c r="I196" s="29">
        <f>IF(ISBLANK(#REF!),"",E196*D196)</f>
        <v>37</v>
      </c>
    </row>
    <row r="197" spans="1:9" hidden="1" x14ac:dyDescent="0.2">
      <c r="A197" s="39" t="s">
        <v>1834</v>
      </c>
      <c r="B197" s="57" t="s">
        <v>1835</v>
      </c>
      <c r="C197" s="37" t="s">
        <v>2187</v>
      </c>
      <c r="D197" s="38"/>
      <c r="E197" s="11"/>
      <c r="F197" s="12"/>
      <c r="G197" s="14"/>
      <c r="H197" s="28"/>
      <c r="I197" s="29"/>
    </row>
    <row r="198" spans="1:9" hidden="1" x14ac:dyDescent="0.2">
      <c r="A198" s="41" t="s">
        <v>1841</v>
      </c>
      <c r="B198" s="57" t="s">
        <v>1842</v>
      </c>
      <c r="C198" s="44" t="s">
        <v>2187</v>
      </c>
      <c r="D198" s="45"/>
      <c r="E198" s="20"/>
      <c r="F198" s="12"/>
      <c r="G198" s="14"/>
      <c r="H198" s="31"/>
      <c r="I198" s="32"/>
    </row>
    <row r="199" spans="1:9" x14ac:dyDescent="0.2">
      <c r="A199" s="42" t="s">
        <v>2336</v>
      </c>
      <c r="B199" s="63" t="s">
        <v>2337</v>
      </c>
      <c r="C199" s="44" t="s">
        <v>2149</v>
      </c>
      <c r="D199" s="38">
        <v>1</v>
      </c>
      <c r="E199" s="15">
        <v>30</v>
      </c>
      <c r="F199" s="12">
        <v>60</v>
      </c>
      <c r="G199" s="14">
        <f>F199+E199</f>
        <v>90</v>
      </c>
      <c r="H199" s="28">
        <f>IF(ISBLANK(#REF!),"",D199*G199)</f>
        <v>90</v>
      </c>
      <c r="I199" s="29">
        <f>IF(ISBLANK(#REF!),"",E199*D199)</f>
        <v>30</v>
      </c>
    </row>
    <row r="200" spans="1:9" x14ac:dyDescent="0.2">
      <c r="A200" s="40" t="s">
        <v>2475</v>
      </c>
      <c r="B200" s="63" t="s">
        <v>2476</v>
      </c>
      <c r="C200" s="44" t="s">
        <v>2149</v>
      </c>
      <c r="D200" s="38">
        <v>1</v>
      </c>
      <c r="E200" s="15">
        <v>30</v>
      </c>
      <c r="F200" s="12">
        <v>60</v>
      </c>
      <c r="G200" s="14">
        <f>F200+E200</f>
        <v>90</v>
      </c>
      <c r="H200" s="28">
        <f>IF(ISBLANK(#REF!),"",D200*G200)</f>
        <v>90</v>
      </c>
      <c r="I200" s="29">
        <f>IF(ISBLANK(#REF!),"",E200*D200)</f>
        <v>30</v>
      </c>
    </row>
    <row r="201" spans="1:9" ht="25.5" hidden="1" x14ac:dyDescent="0.2">
      <c r="A201" s="41" t="s">
        <v>2250</v>
      </c>
      <c r="B201" s="57" t="s">
        <v>2251</v>
      </c>
      <c r="C201" s="44" t="s">
        <v>2187</v>
      </c>
      <c r="D201" s="45"/>
      <c r="E201" s="20"/>
      <c r="F201" s="12"/>
      <c r="G201" s="14"/>
      <c r="H201" s="31"/>
      <c r="I201" s="32"/>
    </row>
    <row r="202" spans="1:9" ht="25.5" x14ac:dyDescent="0.2">
      <c r="A202" s="42" t="s">
        <v>2252</v>
      </c>
      <c r="B202" s="63" t="s">
        <v>213</v>
      </c>
      <c r="C202" s="44" t="s">
        <v>2149</v>
      </c>
      <c r="D202" s="38">
        <v>1</v>
      </c>
      <c r="E202" s="15">
        <v>0</v>
      </c>
      <c r="F202" s="12">
        <v>0</v>
      </c>
      <c r="G202" s="14">
        <f>F202+E202</f>
        <v>0</v>
      </c>
      <c r="H202" s="28">
        <f>IF(ISBLANK(#REF!),"",D202*G202)</f>
        <v>0</v>
      </c>
      <c r="I202" s="29">
        <f>IF(ISBLANK(#REF!),"",E202*D202)</f>
        <v>0</v>
      </c>
    </row>
    <row r="203" spans="1:9" ht="25.5" x14ac:dyDescent="0.2">
      <c r="A203" s="42" t="s">
        <v>2258</v>
      </c>
      <c r="B203" s="63" t="s">
        <v>2259</v>
      </c>
      <c r="C203" s="44" t="s">
        <v>2149</v>
      </c>
      <c r="D203" s="38">
        <v>1</v>
      </c>
      <c r="E203" s="15">
        <v>130</v>
      </c>
      <c r="F203" s="12">
        <v>240</v>
      </c>
      <c r="G203" s="14">
        <f>F203+E203</f>
        <v>370</v>
      </c>
      <c r="H203" s="28">
        <f>IF(ISBLANK(#REF!),"",D203*G203)</f>
        <v>370</v>
      </c>
      <c r="I203" s="29">
        <f>IF(ISBLANK(#REF!),"",E203*D203)</f>
        <v>130</v>
      </c>
    </row>
    <row r="204" spans="1:9" ht="25.5" x14ac:dyDescent="0.2">
      <c r="A204" s="40" t="s">
        <v>1795</v>
      </c>
      <c r="B204" s="63" t="s">
        <v>1796</v>
      </c>
      <c r="C204" s="44" t="s">
        <v>2149</v>
      </c>
      <c r="D204" s="38">
        <v>1</v>
      </c>
      <c r="E204" s="15">
        <v>200</v>
      </c>
      <c r="F204" s="12">
        <v>320</v>
      </c>
      <c r="G204" s="14">
        <f>F204+E204</f>
        <v>520</v>
      </c>
      <c r="H204" s="28">
        <f>IF(ISBLANK(#REF!),"",D204*G204)</f>
        <v>520</v>
      </c>
      <c r="I204" s="29">
        <f>IF(ISBLANK(#REF!),"",E204*D204)</f>
        <v>200</v>
      </c>
    </row>
    <row r="205" spans="1:9" hidden="1" x14ac:dyDescent="0.2">
      <c r="A205" s="41" t="s">
        <v>1801</v>
      </c>
      <c r="B205" s="57" t="s">
        <v>1802</v>
      </c>
      <c r="C205" s="44" t="s">
        <v>2187</v>
      </c>
      <c r="D205" s="45"/>
      <c r="E205" s="20"/>
      <c r="F205" s="12"/>
      <c r="G205" s="14"/>
      <c r="H205" s="31"/>
      <c r="I205" s="32"/>
    </row>
    <row r="206" spans="1:9" ht="25.5" x14ac:dyDescent="0.2">
      <c r="A206" s="42" t="s">
        <v>1803</v>
      </c>
      <c r="B206" s="63" t="s">
        <v>1804</v>
      </c>
      <c r="C206" s="44" t="s">
        <v>2149</v>
      </c>
      <c r="D206" s="38">
        <v>1</v>
      </c>
      <c r="E206" s="15">
        <v>40</v>
      </c>
      <c r="F206" s="12">
        <v>75</v>
      </c>
      <c r="G206" s="14">
        <f>F206+E206</f>
        <v>115</v>
      </c>
      <c r="H206" s="28">
        <f>IF(ISBLANK(#REF!),"",D206*G206)</f>
        <v>115</v>
      </c>
      <c r="I206" s="29">
        <f>IF(ISBLANK(#REF!),"",E206*D206)</f>
        <v>40</v>
      </c>
    </row>
    <row r="207" spans="1:9" ht="25.5" x14ac:dyDescent="0.2">
      <c r="A207" s="40" t="s">
        <v>1418</v>
      </c>
      <c r="B207" s="63" t="s">
        <v>1419</v>
      </c>
      <c r="C207" s="44" t="s">
        <v>2240</v>
      </c>
      <c r="D207" s="38">
        <v>1</v>
      </c>
      <c r="E207" s="15">
        <v>60</v>
      </c>
      <c r="F207" s="12">
        <v>100</v>
      </c>
      <c r="G207" s="14">
        <f>F207+E207</f>
        <v>160</v>
      </c>
      <c r="H207" s="28">
        <f>IF(ISBLANK(#REF!),"",D207*G207)</f>
        <v>160</v>
      </c>
      <c r="I207" s="29">
        <f>IF(ISBLANK(#REF!),"",E207*D207)</f>
        <v>60</v>
      </c>
    </row>
    <row r="208" spans="1:9" ht="25.5" x14ac:dyDescent="0.2">
      <c r="A208" s="42" t="s">
        <v>1066</v>
      </c>
      <c r="B208" s="63" t="s">
        <v>214</v>
      </c>
      <c r="C208" s="44" t="s">
        <v>2240</v>
      </c>
      <c r="D208" s="38">
        <v>1</v>
      </c>
      <c r="E208" s="15">
        <v>0</v>
      </c>
      <c r="F208" s="12">
        <v>0</v>
      </c>
      <c r="G208" s="14">
        <f>F208+E208</f>
        <v>0</v>
      </c>
      <c r="H208" s="28">
        <f>IF(ISBLANK(#REF!),"",D208*G208)</f>
        <v>0</v>
      </c>
      <c r="I208" s="29">
        <f>IF(ISBLANK(#REF!),"",E208*D208)</f>
        <v>0</v>
      </c>
    </row>
    <row r="209" spans="1:9" ht="25.5" x14ac:dyDescent="0.2">
      <c r="A209" s="40" t="s">
        <v>1444</v>
      </c>
      <c r="B209" s="63" t="s">
        <v>1445</v>
      </c>
      <c r="C209" s="44" t="s">
        <v>2240</v>
      </c>
      <c r="D209" s="38">
        <v>1</v>
      </c>
      <c r="E209" s="15">
        <v>45</v>
      </c>
      <c r="F209" s="12">
        <v>68</v>
      </c>
      <c r="G209" s="14">
        <f>F209+E209</f>
        <v>113</v>
      </c>
      <c r="H209" s="28">
        <f>IF(ISBLANK(#REF!),"",D209*G209)</f>
        <v>113</v>
      </c>
      <c r="I209" s="29">
        <f>IF(ISBLANK(#REF!),"",E209*D209)</f>
        <v>45</v>
      </c>
    </row>
    <row r="210" spans="1:9" hidden="1" x14ac:dyDescent="0.2">
      <c r="A210" s="41" t="s">
        <v>1447</v>
      </c>
      <c r="B210" s="57" t="s">
        <v>1448</v>
      </c>
      <c r="C210" s="37" t="s">
        <v>2187</v>
      </c>
      <c r="D210" s="38"/>
      <c r="E210" s="11"/>
      <c r="F210" s="12"/>
      <c r="G210" s="14"/>
      <c r="H210" s="28"/>
      <c r="I210" s="29"/>
    </row>
    <row r="211" spans="1:9" ht="25.5" x14ac:dyDescent="0.2">
      <c r="A211" s="40" t="s">
        <v>1449</v>
      </c>
      <c r="B211" s="63" t="s">
        <v>1450</v>
      </c>
      <c r="C211" s="37" t="s">
        <v>2108</v>
      </c>
      <c r="D211" s="38">
        <v>1</v>
      </c>
      <c r="E211" s="15">
        <v>490</v>
      </c>
      <c r="F211" s="12">
        <v>1050</v>
      </c>
      <c r="G211" s="14">
        <f>F211+E211</f>
        <v>1540</v>
      </c>
      <c r="H211" s="28">
        <f>IF(ISBLANK(#REF!),"",D211*G211)</f>
        <v>1540</v>
      </c>
      <c r="I211" s="29">
        <f>IF(ISBLANK(#REF!),"",E211*D211)</f>
        <v>490</v>
      </c>
    </row>
    <row r="212" spans="1:9" hidden="1" x14ac:dyDescent="0.2">
      <c r="A212" s="39" t="s">
        <v>1988</v>
      </c>
      <c r="B212" s="57" t="s">
        <v>1989</v>
      </c>
      <c r="C212" s="37" t="s">
        <v>2187</v>
      </c>
      <c r="D212" s="38"/>
      <c r="E212" s="11"/>
      <c r="F212" s="12"/>
      <c r="G212" s="14"/>
      <c r="H212" s="28"/>
      <c r="I212" s="29"/>
    </row>
    <row r="213" spans="1:9" hidden="1" x14ac:dyDescent="0.2">
      <c r="A213" s="41" t="s">
        <v>1990</v>
      </c>
      <c r="B213" s="57" t="s">
        <v>1991</v>
      </c>
      <c r="C213" s="37" t="s">
        <v>2187</v>
      </c>
      <c r="D213" s="38"/>
      <c r="E213" s="11"/>
      <c r="F213" s="12"/>
      <c r="G213" s="14"/>
      <c r="H213" s="28"/>
      <c r="I213" s="29"/>
    </row>
    <row r="214" spans="1:9" x14ac:dyDescent="0.2">
      <c r="A214" s="42" t="s">
        <v>1992</v>
      </c>
      <c r="B214" s="63" t="s">
        <v>1993</v>
      </c>
      <c r="C214" s="37" t="s">
        <v>2149</v>
      </c>
      <c r="D214" s="38">
        <v>1</v>
      </c>
      <c r="E214" s="15">
        <v>70</v>
      </c>
      <c r="F214" s="12">
        <v>90</v>
      </c>
      <c r="G214" s="14">
        <f>F214+E214</f>
        <v>160</v>
      </c>
      <c r="H214" s="28">
        <f>IF(ISBLANK(#REF!),"",D214*G214)</f>
        <v>160</v>
      </c>
      <c r="I214" s="29">
        <f>IF(ISBLANK(#REF!),"",E214*D214)</f>
        <v>70</v>
      </c>
    </row>
    <row r="215" spans="1:9" ht="25.5" hidden="1" x14ac:dyDescent="0.2">
      <c r="A215" s="41" t="s">
        <v>1995</v>
      </c>
      <c r="B215" s="57" t="s">
        <v>1996</v>
      </c>
      <c r="C215" s="37" t="s">
        <v>2187</v>
      </c>
      <c r="D215" s="38"/>
      <c r="E215" s="11"/>
      <c r="F215" s="12"/>
      <c r="G215" s="14"/>
      <c r="H215" s="28"/>
      <c r="I215" s="29"/>
    </row>
    <row r="216" spans="1:9" ht="38.25" x14ac:dyDescent="0.2">
      <c r="A216" s="42" t="s">
        <v>1997</v>
      </c>
      <c r="B216" s="63" t="s">
        <v>2239</v>
      </c>
      <c r="C216" s="37" t="s">
        <v>1946</v>
      </c>
      <c r="D216" s="38">
        <v>1</v>
      </c>
      <c r="E216" s="15">
        <v>100</v>
      </c>
      <c r="F216" s="12">
        <v>71</v>
      </c>
      <c r="G216" s="14">
        <f>F216+E216</f>
        <v>171</v>
      </c>
      <c r="H216" s="28">
        <f>IF(ISBLANK(#REF!),"",D216*G216)</f>
        <v>171</v>
      </c>
      <c r="I216" s="29">
        <f>IF(ISBLANK(#REF!),"",E216*D216)</f>
        <v>100</v>
      </c>
    </row>
    <row r="217" spans="1:9" ht="51" x14ac:dyDescent="0.2">
      <c r="A217" s="40" t="s">
        <v>2000</v>
      </c>
      <c r="B217" s="63" t="s">
        <v>95</v>
      </c>
      <c r="C217" s="37" t="s">
        <v>1946</v>
      </c>
      <c r="D217" s="38">
        <v>1</v>
      </c>
      <c r="E217" s="15">
        <v>270</v>
      </c>
      <c r="F217" s="12">
        <v>210</v>
      </c>
      <c r="G217" s="14">
        <f>F217+E217</f>
        <v>480</v>
      </c>
      <c r="H217" s="28">
        <f>IF(ISBLANK(#REF!),"",D217*G217)</f>
        <v>480</v>
      </c>
      <c r="I217" s="29">
        <f>IF(ISBLANK(#REF!),"",E217*D217)</f>
        <v>270</v>
      </c>
    </row>
    <row r="218" spans="1:9" ht="51" hidden="1" x14ac:dyDescent="0.2">
      <c r="A218" s="40" t="s">
        <v>96</v>
      </c>
      <c r="B218" s="58" t="s">
        <v>97</v>
      </c>
      <c r="C218" s="37" t="s">
        <v>1946</v>
      </c>
      <c r="D218" s="38">
        <v>1</v>
      </c>
      <c r="E218" s="15">
        <v>300</v>
      </c>
      <c r="F218" s="12">
        <v>250</v>
      </c>
      <c r="G218" s="14">
        <f>F218+E218</f>
        <v>550</v>
      </c>
      <c r="H218" s="28"/>
      <c r="I218" s="29"/>
    </row>
    <row r="219" spans="1:9" hidden="1" x14ac:dyDescent="0.2">
      <c r="A219" s="41" t="s">
        <v>2003</v>
      </c>
      <c r="B219" s="57" t="s">
        <v>2004</v>
      </c>
      <c r="C219" s="37" t="s">
        <v>2187</v>
      </c>
      <c r="D219" s="38"/>
      <c r="E219" s="11"/>
      <c r="F219" s="12"/>
      <c r="G219" s="14"/>
      <c r="H219" s="28"/>
      <c r="I219" s="29"/>
    </row>
    <row r="220" spans="1:9" ht="25.5" x14ac:dyDescent="0.2">
      <c r="A220" s="42" t="s">
        <v>2005</v>
      </c>
      <c r="B220" s="63" t="s">
        <v>100</v>
      </c>
      <c r="C220" s="37" t="s">
        <v>2204</v>
      </c>
      <c r="D220" s="38">
        <v>1</v>
      </c>
      <c r="E220" s="15">
        <v>90</v>
      </c>
      <c r="F220" s="12">
        <v>53</v>
      </c>
      <c r="G220" s="14">
        <f t="shared" ref="G220:G225" si="2">F220+E220</f>
        <v>143</v>
      </c>
      <c r="H220" s="28">
        <f>IF(ISBLANK(#REF!),"",D220*G220)</f>
        <v>143</v>
      </c>
      <c r="I220" s="29">
        <f>IF(ISBLANK(#REF!),"",E220*D220)</f>
        <v>90</v>
      </c>
    </row>
    <row r="221" spans="1:9" ht="25.5" hidden="1" x14ac:dyDescent="0.2">
      <c r="A221" s="42" t="s">
        <v>98</v>
      </c>
      <c r="B221" s="58" t="s">
        <v>99</v>
      </c>
      <c r="C221" s="37" t="s">
        <v>2204</v>
      </c>
      <c r="D221" s="38">
        <v>1</v>
      </c>
      <c r="E221" s="15">
        <v>90</v>
      </c>
      <c r="F221" s="12">
        <v>40</v>
      </c>
      <c r="G221" s="14">
        <f t="shared" si="2"/>
        <v>130</v>
      </c>
      <c r="H221" s="28"/>
      <c r="I221" s="29"/>
    </row>
    <row r="222" spans="1:9" hidden="1" x14ac:dyDescent="0.2">
      <c r="A222" s="41" t="s">
        <v>1864</v>
      </c>
      <c r="B222" s="57" t="s">
        <v>1865</v>
      </c>
      <c r="C222" s="37" t="s">
        <v>2187</v>
      </c>
      <c r="D222" s="38"/>
      <c r="E222" s="11"/>
      <c r="F222" s="12">
        <v>0</v>
      </c>
      <c r="G222" s="14">
        <f t="shared" si="2"/>
        <v>0</v>
      </c>
      <c r="H222" s="28"/>
      <c r="I222" s="29"/>
    </row>
    <row r="223" spans="1:9" x14ac:dyDescent="0.2">
      <c r="A223" s="42" t="s">
        <v>1866</v>
      </c>
      <c r="B223" s="63" t="s">
        <v>1867</v>
      </c>
      <c r="C223" s="37" t="s">
        <v>2204</v>
      </c>
      <c r="D223" s="38">
        <v>1</v>
      </c>
      <c r="E223" s="15">
        <v>0</v>
      </c>
      <c r="F223" s="12">
        <v>0</v>
      </c>
      <c r="G223" s="14">
        <f t="shared" si="2"/>
        <v>0</v>
      </c>
      <c r="H223" s="28">
        <f>IF(ISBLANK(#REF!),"",D223*G223)</f>
        <v>0</v>
      </c>
      <c r="I223" s="29">
        <f>IF(ISBLANK(#REF!),"",E223*D223)</f>
        <v>0</v>
      </c>
    </row>
    <row r="224" spans="1:9" x14ac:dyDescent="0.2">
      <c r="A224" s="42" t="s">
        <v>1872</v>
      </c>
      <c r="B224" s="63" t="s">
        <v>1873</v>
      </c>
      <c r="C224" s="37" t="s">
        <v>2204</v>
      </c>
      <c r="D224" s="38">
        <v>1</v>
      </c>
      <c r="E224" s="15">
        <v>0</v>
      </c>
      <c r="F224" s="12">
        <v>0</v>
      </c>
      <c r="G224" s="14">
        <f t="shared" si="2"/>
        <v>0</v>
      </c>
      <c r="H224" s="28">
        <f>IF(ISBLANK(#REF!),"",D224*G224)</f>
        <v>0</v>
      </c>
      <c r="I224" s="29">
        <f>IF(ISBLANK(#REF!),"",E224*D224)</f>
        <v>0</v>
      </c>
    </row>
    <row r="225" spans="1:9" x14ac:dyDescent="0.2">
      <c r="A225" s="42" t="s">
        <v>2449</v>
      </c>
      <c r="B225" s="63" t="s">
        <v>2450</v>
      </c>
      <c r="C225" s="37" t="s">
        <v>2149</v>
      </c>
      <c r="D225" s="38">
        <v>1</v>
      </c>
      <c r="E225" s="15">
        <v>0</v>
      </c>
      <c r="F225" s="12">
        <v>0</v>
      </c>
      <c r="G225" s="14">
        <f t="shared" si="2"/>
        <v>0</v>
      </c>
      <c r="H225" s="28">
        <f>IF(ISBLANK(#REF!),"",D225*G225)</f>
        <v>0</v>
      </c>
      <c r="I225" s="29">
        <f>IF(ISBLANK(#REF!),"",E225*D225)</f>
        <v>0</v>
      </c>
    </row>
    <row r="226" spans="1:9" hidden="1" x14ac:dyDescent="0.2">
      <c r="A226" s="35" t="s">
        <v>2452</v>
      </c>
      <c r="B226" s="57" t="s">
        <v>2453</v>
      </c>
      <c r="C226" s="37" t="s">
        <v>2187</v>
      </c>
      <c r="D226" s="38"/>
      <c r="E226" s="11"/>
      <c r="F226" s="12"/>
      <c r="G226" s="13"/>
      <c r="H226" s="28"/>
      <c r="I226" s="29"/>
    </row>
    <row r="227" spans="1:9" hidden="1" x14ac:dyDescent="0.2">
      <c r="A227" s="39" t="s">
        <v>2454</v>
      </c>
      <c r="B227" s="57" t="s">
        <v>2455</v>
      </c>
      <c r="C227" s="37" t="s">
        <v>2187</v>
      </c>
      <c r="D227" s="38"/>
      <c r="E227" s="11"/>
      <c r="F227" s="12"/>
      <c r="G227" s="13"/>
      <c r="H227" s="28"/>
      <c r="I227" s="29"/>
    </row>
    <row r="228" spans="1:9" hidden="1" x14ac:dyDescent="0.2">
      <c r="A228" s="41" t="s">
        <v>2456</v>
      </c>
      <c r="B228" s="57" t="s">
        <v>2457</v>
      </c>
      <c r="C228" s="37" t="s">
        <v>2187</v>
      </c>
      <c r="D228" s="38"/>
      <c r="E228" s="11"/>
      <c r="F228" s="12"/>
      <c r="G228" s="13"/>
      <c r="H228" s="28"/>
      <c r="I228" s="29"/>
    </row>
    <row r="229" spans="1:9" ht="25.5" x14ac:dyDescent="0.2">
      <c r="A229" s="40" t="s">
        <v>2458</v>
      </c>
      <c r="B229" s="63" t="s">
        <v>2459</v>
      </c>
      <c r="C229" s="37" t="s">
        <v>2204</v>
      </c>
      <c r="D229" s="38">
        <v>1</v>
      </c>
      <c r="E229" s="15">
        <v>34</v>
      </c>
      <c r="F229" s="12">
        <v>10</v>
      </c>
      <c r="G229" s="14">
        <f>F229+E229</f>
        <v>44</v>
      </c>
      <c r="H229" s="28">
        <f>IF(ISBLANK(#REF!),"",D229*G229)</f>
        <v>44</v>
      </c>
      <c r="I229" s="29">
        <f>IF(ISBLANK(#REF!),"",E229*D229)</f>
        <v>34</v>
      </c>
    </row>
    <row r="230" spans="1:9" ht="25.5" x14ac:dyDescent="0.2">
      <c r="A230" s="40" t="s">
        <v>1888</v>
      </c>
      <c r="B230" s="63" t="s">
        <v>1889</v>
      </c>
      <c r="C230" s="37" t="s">
        <v>2204</v>
      </c>
      <c r="D230" s="38">
        <v>1</v>
      </c>
      <c r="E230" s="15">
        <v>14</v>
      </c>
      <c r="F230" s="12">
        <v>9</v>
      </c>
      <c r="G230" s="14">
        <f>F230+E230</f>
        <v>23</v>
      </c>
      <c r="H230" s="28">
        <f>IF(ISBLANK(#REF!),"",D230*G230)</f>
        <v>23</v>
      </c>
      <c r="I230" s="29">
        <f>IF(ISBLANK(#REF!),"",E230*D230)</f>
        <v>14</v>
      </c>
    </row>
    <row r="231" spans="1:9" ht="25.5" x14ac:dyDescent="0.2">
      <c r="A231" s="40" t="s">
        <v>1894</v>
      </c>
      <c r="B231" s="63" t="s">
        <v>1895</v>
      </c>
      <c r="C231" s="37" t="s">
        <v>2204</v>
      </c>
      <c r="D231" s="38">
        <v>1</v>
      </c>
      <c r="E231" s="15">
        <v>45</v>
      </c>
      <c r="F231" s="12">
        <v>12</v>
      </c>
      <c r="G231" s="14">
        <f>F231+E231</f>
        <v>57</v>
      </c>
      <c r="H231" s="28">
        <f>IF(ISBLANK(#REF!),"",D231*G231)</f>
        <v>57</v>
      </c>
      <c r="I231" s="29">
        <f>IF(ISBLANK(#REF!),"",E231*D231)</f>
        <v>45</v>
      </c>
    </row>
    <row r="232" spans="1:9" ht="25.5" x14ac:dyDescent="0.2">
      <c r="A232" s="42" t="s">
        <v>1485</v>
      </c>
      <c r="B232" s="63" t="s">
        <v>1486</v>
      </c>
      <c r="C232" s="37" t="s">
        <v>2204</v>
      </c>
      <c r="D232" s="38">
        <v>1</v>
      </c>
      <c r="E232" s="15">
        <v>21</v>
      </c>
      <c r="F232" s="12">
        <v>9</v>
      </c>
      <c r="G232" s="14">
        <f>F232+E232</f>
        <v>30</v>
      </c>
      <c r="H232" s="28">
        <f>IF(ISBLANK(#REF!),"",D232*G232)</f>
        <v>30</v>
      </c>
      <c r="I232" s="29">
        <f>IF(ISBLANK(#REF!),"",E232*D232)</f>
        <v>21</v>
      </c>
    </row>
    <row r="233" spans="1:9" hidden="1" x14ac:dyDescent="0.2">
      <c r="A233" s="41" t="s">
        <v>1491</v>
      </c>
      <c r="B233" s="57" t="s">
        <v>1492</v>
      </c>
      <c r="C233" s="37" t="s">
        <v>2187</v>
      </c>
      <c r="D233" s="38"/>
      <c r="E233" s="11"/>
      <c r="F233" s="12"/>
      <c r="G233" s="14"/>
      <c r="H233" s="28"/>
      <c r="I233" s="29"/>
    </row>
    <row r="234" spans="1:9" x14ac:dyDescent="0.2">
      <c r="A234" s="40" t="s">
        <v>1493</v>
      </c>
      <c r="B234" s="63" t="s">
        <v>2380</v>
      </c>
      <c r="C234" s="37" t="s">
        <v>2204</v>
      </c>
      <c r="D234" s="38">
        <v>1</v>
      </c>
      <c r="E234" s="15">
        <v>14</v>
      </c>
      <c r="F234" s="12">
        <v>10</v>
      </c>
      <c r="G234" s="14">
        <f t="shared" ref="G234:G240" si="3">F234+E234</f>
        <v>24</v>
      </c>
      <c r="H234" s="28">
        <f>IF(ISBLANK(#REF!),"",D234*G234)</f>
        <v>24</v>
      </c>
      <c r="I234" s="29">
        <f>IF(ISBLANK(#REF!),"",E234*D234)</f>
        <v>14</v>
      </c>
    </row>
    <row r="235" spans="1:9" ht="25.5" x14ac:dyDescent="0.2">
      <c r="A235" s="40" t="s">
        <v>1496</v>
      </c>
      <c r="B235" s="63" t="s">
        <v>1497</v>
      </c>
      <c r="C235" s="37" t="s">
        <v>2204</v>
      </c>
      <c r="D235" s="38">
        <v>1</v>
      </c>
      <c r="E235" s="15">
        <v>14</v>
      </c>
      <c r="F235" s="12">
        <v>10</v>
      </c>
      <c r="G235" s="14">
        <f t="shared" si="3"/>
        <v>24</v>
      </c>
      <c r="H235" s="28">
        <f>IF(ISBLANK(#REF!),"",D235*G235)</f>
        <v>24</v>
      </c>
      <c r="I235" s="29">
        <f>IF(ISBLANK(#REF!),"",E235*D235)</f>
        <v>14</v>
      </c>
    </row>
    <row r="236" spans="1:9" ht="25.5" x14ac:dyDescent="0.2">
      <c r="A236" s="40" t="s">
        <v>1499</v>
      </c>
      <c r="B236" s="63" t="s">
        <v>1519</v>
      </c>
      <c r="C236" s="37" t="s">
        <v>2204</v>
      </c>
      <c r="D236" s="38">
        <v>1</v>
      </c>
      <c r="E236" s="15">
        <v>14</v>
      </c>
      <c r="F236" s="12">
        <v>10</v>
      </c>
      <c r="G236" s="14">
        <f t="shared" si="3"/>
        <v>24</v>
      </c>
      <c r="H236" s="28">
        <f>IF(ISBLANK(#REF!),"",D236*G236)</f>
        <v>24</v>
      </c>
      <c r="I236" s="29">
        <f>IF(ISBLANK(#REF!),"",E236*D236)</f>
        <v>14</v>
      </c>
    </row>
    <row r="237" spans="1:9" ht="25.5" x14ac:dyDescent="0.2">
      <c r="A237" s="40" t="s">
        <v>1521</v>
      </c>
      <c r="B237" s="63" t="s">
        <v>1522</v>
      </c>
      <c r="C237" s="37" t="s">
        <v>2204</v>
      </c>
      <c r="D237" s="38">
        <v>1</v>
      </c>
      <c r="E237" s="15">
        <v>14</v>
      </c>
      <c r="F237" s="12">
        <v>10</v>
      </c>
      <c r="G237" s="14">
        <f t="shared" si="3"/>
        <v>24</v>
      </c>
      <c r="H237" s="28">
        <f>IF(ISBLANK(#REF!),"",D237*G237)</f>
        <v>24</v>
      </c>
      <c r="I237" s="29">
        <f>IF(ISBLANK(#REF!),"",E237*D237)</f>
        <v>14</v>
      </c>
    </row>
    <row r="238" spans="1:9" ht="25.5" x14ac:dyDescent="0.2">
      <c r="A238" s="40" t="s">
        <v>1524</v>
      </c>
      <c r="B238" s="63" t="s">
        <v>1525</v>
      </c>
      <c r="C238" s="37" t="s">
        <v>2204</v>
      </c>
      <c r="D238" s="38">
        <v>1</v>
      </c>
      <c r="E238" s="15">
        <v>82</v>
      </c>
      <c r="F238" s="12">
        <v>10</v>
      </c>
      <c r="G238" s="14">
        <f t="shared" si="3"/>
        <v>92</v>
      </c>
      <c r="H238" s="28">
        <f>IF(ISBLANK(#REF!),"",D238*G238)</f>
        <v>92</v>
      </c>
      <c r="I238" s="29">
        <f>IF(ISBLANK(#REF!),"",E238*D238)</f>
        <v>82</v>
      </c>
    </row>
    <row r="239" spans="1:9" ht="25.5" x14ac:dyDescent="0.2">
      <c r="A239" s="40" t="s">
        <v>1168</v>
      </c>
      <c r="B239" s="63" t="s">
        <v>1169</v>
      </c>
      <c r="C239" s="37" t="s">
        <v>2204</v>
      </c>
      <c r="D239" s="38">
        <v>1</v>
      </c>
      <c r="E239" s="15">
        <v>15</v>
      </c>
      <c r="F239" s="12">
        <v>10</v>
      </c>
      <c r="G239" s="14">
        <f t="shared" si="3"/>
        <v>25</v>
      </c>
      <c r="H239" s="28">
        <f>IF(ISBLANK(#REF!),"",D239*G239)</f>
        <v>25</v>
      </c>
      <c r="I239" s="29">
        <f>IF(ISBLANK(#REF!),"",E239*D239)</f>
        <v>15</v>
      </c>
    </row>
    <row r="240" spans="1:9" ht="25.5" x14ac:dyDescent="0.2">
      <c r="A240" s="40" t="s">
        <v>1171</v>
      </c>
      <c r="B240" s="63" t="s">
        <v>1172</v>
      </c>
      <c r="C240" s="37" t="s">
        <v>2204</v>
      </c>
      <c r="D240" s="38">
        <v>1</v>
      </c>
      <c r="E240" s="15">
        <v>15</v>
      </c>
      <c r="F240" s="12">
        <v>10</v>
      </c>
      <c r="G240" s="14">
        <f t="shared" si="3"/>
        <v>25</v>
      </c>
      <c r="H240" s="28">
        <f>IF(ISBLANK(#REF!),"",D240*G240)</f>
        <v>25</v>
      </c>
      <c r="I240" s="29">
        <f>IF(ISBLANK(#REF!),"",E240*D240)</f>
        <v>15</v>
      </c>
    </row>
    <row r="241" spans="1:9" ht="25.5" hidden="1" x14ac:dyDescent="0.2">
      <c r="A241" s="41" t="s">
        <v>1174</v>
      </c>
      <c r="B241" s="57" t="s">
        <v>1175</v>
      </c>
      <c r="C241" s="37" t="s">
        <v>2187</v>
      </c>
      <c r="D241" s="38"/>
      <c r="E241" s="11"/>
      <c r="F241" s="12"/>
      <c r="G241" s="13"/>
      <c r="H241" s="28"/>
      <c r="I241" s="29"/>
    </row>
    <row r="242" spans="1:9" ht="38.25" x14ac:dyDescent="0.2">
      <c r="A242" s="42" t="s">
        <v>1176</v>
      </c>
      <c r="B242" s="63" t="s">
        <v>1177</v>
      </c>
      <c r="C242" s="37" t="s">
        <v>2204</v>
      </c>
      <c r="D242" s="38">
        <v>1</v>
      </c>
      <c r="E242" s="15">
        <v>0</v>
      </c>
      <c r="F242" s="12">
        <v>11</v>
      </c>
      <c r="G242" s="14">
        <f>F242+E242</f>
        <v>11</v>
      </c>
      <c r="H242" s="28">
        <f>IF(ISBLANK(#REF!),"",D242*G242)</f>
        <v>11</v>
      </c>
      <c r="I242" s="29">
        <f>IF(ISBLANK(#REF!),"",E242*D242)</f>
        <v>0</v>
      </c>
    </row>
    <row r="243" spans="1:9" hidden="1" x14ac:dyDescent="0.2">
      <c r="A243" s="41" t="s">
        <v>1182</v>
      </c>
      <c r="B243" s="57" t="s">
        <v>1183</v>
      </c>
      <c r="C243" s="37" t="s">
        <v>2187</v>
      </c>
      <c r="D243" s="38"/>
      <c r="E243" s="11"/>
      <c r="F243" s="12"/>
      <c r="G243" s="14"/>
      <c r="H243" s="28"/>
      <c r="I243" s="29"/>
    </row>
    <row r="244" spans="1:9" ht="25.5" x14ac:dyDescent="0.2">
      <c r="A244" s="40" t="s">
        <v>1184</v>
      </c>
      <c r="B244" s="63" t="s">
        <v>1185</v>
      </c>
      <c r="C244" s="37" t="s">
        <v>2204</v>
      </c>
      <c r="D244" s="38">
        <v>1</v>
      </c>
      <c r="E244" s="15">
        <v>22</v>
      </c>
      <c r="F244" s="12">
        <v>15</v>
      </c>
      <c r="G244" s="14">
        <f>F244+E244</f>
        <v>37</v>
      </c>
      <c r="H244" s="28">
        <f>IF(ISBLANK(#REF!),"",D244*G244)</f>
        <v>37</v>
      </c>
      <c r="I244" s="29">
        <f>IF(ISBLANK(#REF!),"",E244*D244)</f>
        <v>22</v>
      </c>
    </row>
    <row r="245" spans="1:9" ht="25.5" x14ac:dyDescent="0.2">
      <c r="A245" s="40" t="s">
        <v>1539</v>
      </c>
      <c r="B245" s="63" t="s">
        <v>2381</v>
      </c>
      <c r="C245" s="37" t="s">
        <v>2204</v>
      </c>
      <c r="D245" s="38">
        <v>1</v>
      </c>
      <c r="E245" s="15">
        <v>15</v>
      </c>
      <c r="F245" s="12">
        <v>20</v>
      </c>
      <c r="G245" s="14">
        <f>F245+E245</f>
        <v>35</v>
      </c>
      <c r="H245" s="28">
        <f>IF(ISBLANK(#REF!),"",D245*G245)</f>
        <v>35</v>
      </c>
      <c r="I245" s="29">
        <f>IF(ISBLANK(#REF!),"",E245*D245)</f>
        <v>15</v>
      </c>
    </row>
    <row r="246" spans="1:9" x14ac:dyDescent="0.2">
      <c r="A246" s="40" t="s">
        <v>1542</v>
      </c>
      <c r="B246" s="63" t="s">
        <v>1543</v>
      </c>
      <c r="C246" s="37" t="s">
        <v>2204</v>
      </c>
      <c r="D246" s="38">
        <v>1</v>
      </c>
      <c r="E246" s="15">
        <v>10</v>
      </c>
      <c r="F246" s="12">
        <v>20</v>
      </c>
      <c r="G246" s="14">
        <f>F246+E246</f>
        <v>30</v>
      </c>
      <c r="H246" s="28">
        <f>IF(ISBLANK(#REF!),"",D246*G246)</f>
        <v>30</v>
      </c>
      <c r="I246" s="29">
        <f>IF(ISBLANK(#REF!),"",E246*D246)</f>
        <v>10</v>
      </c>
    </row>
    <row r="247" spans="1:9" hidden="1" x14ac:dyDescent="0.2">
      <c r="A247" s="41" t="s">
        <v>1545</v>
      </c>
      <c r="B247" s="57" t="s">
        <v>1546</v>
      </c>
      <c r="C247" s="37" t="s">
        <v>2187</v>
      </c>
      <c r="D247" s="38"/>
      <c r="E247" s="11"/>
      <c r="F247" s="12"/>
      <c r="G247" s="14"/>
      <c r="H247" s="28"/>
      <c r="I247" s="29"/>
    </row>
    <row r="248" spans="1:9" ht="25.5" x14ac:dyDescent="0.2">
      <c r="A248" s="40" t="s">
        <v>1547</v>
      </c>
      <c r="B248" s="63" t="s">
        <v>1548</v>
      </c>
      <c r="C248" s="37" t="s">
        <v>2204</v>
      </c>
      <c r="D248" s="38">
        <v>1</v>
      </c>
      <c r="E248" s="15">
        <v>11</v>
      </c>
      <c r="F248" s="12">
        <v>20</v>
      </c>
      <c r="G248" s="14">
        <f>F248+E248</f>
        <v>31</v>
      </c>
      <c r="H248" s="28">
        <f>IF(ISBLANK(#REF!),"",D248*G248)</f>
        <v>31</v>
      </c>
      <c r="I248" s="29">
        <f>IF(ISBLANK(#REF!),"",E248*D248)</f>
        <v>11</v>
      </c>
    </row>
    <row r="249" spans="1:9" hidden="1" x14ac:dyDescent="0.2">
      <c r="A249" s="41" t="s">
        <v>2565</v>
      </c>
      <c r="B249" s="57" t="s">
        <v>2566</v>
      </c>
      <c r="C249" s="37" t="s">
        <v>2187</v>
      </c>
      <c r="D249" s="38"/>
      <c r="E249" s="11"/>
      <c r="F249" s="12"/>
      <c r="G249" s="14"/>
      <c r="H249" s="28"/>
      <c r="I249" s="29"/>
    </row>
    <row r="250" spans="1:9" ht="25.5" x14ac:dyDescent="0.2">
      <c r="A250" s="40" t="s">
        <v>2567</v>
      </c>
      <c r="B250" s="63" t="s">
        <v>2382</v>
      </c>
      <c r="C250" s="37" t="s">
        <v>2204</v>
      </c>
      <c r="D250" s="38">
        <v>1</v>
      </c>
      <c r="E250" s="15">
        <v>45</v>
      </c>
      <c r="F250" s="12">
        <v>40</v>
      </c>
      <c r="G250" s="14">
        <f>F250+E250</f>
        <v>85</v>
      </c>
      <c r="H250" s="28">
        <f>IF(ISBLANK(#REF!),"",D250*G250)</f>
        <v>85</v>
      </c>
      <c r="I250" s="29">
        <f>IF(ISBLANK(#REF!),"",E250*D250)</f>
        <v>45</v>
      </c>
    </row>
    <row r="251" spans="1:9" ht="25.5" x14ac:dyDescent="0.2">
      <c r="A251" s="40" t="s">
        <v>2570</v>
      </c>
      <c r="B251" s="63" t="s">
        <v>2383</v>
      </c>
      <c r="C251" s="37" t="s">
        <v>2204</v>
      </c>
      <c r="D251" s="38">
        <v>1</v>
      </c>
      <c r="E251" s="15">
        <v>30</v>
      </c>
      <c r="F251" s="12">
        <v>40</v>
      </c>
      <c r="G251" s="14">
        <f>F251+E251</f>
        <v>70</v>
      </c>
      <c r="H251" s="28">
        <f>IF(ISBLANK(#REF!),"",D251*G251)</f>
        <v>70</v>
      </c>
      <c r="I251" s="29">
        <f>IF(ISBLANK(#REF!),"",E251*D251)</f>
        <v>30</v>
      </c>
    </row>
    <row r="252" spans="1:9" ht="25.5" hidden="1" x14ac:dyDescent="0.2">
      <c r="A252" s="40" t="s">
        <v>2573</v>
      </c>
      <c r="B252" s="58" t="s">
        <v>101</v>
      </c>
      <c r="C252" s="37" t="s">
        <v>2204</v>
      </c>
      <c r="D252" s="38">
        <v>1</v>
      </c>
      <c r="E252" s="15">
        <v>50</v>
      </c>
      <c r="F252" s="12">
        <v>60</v>
      </c>
      <c r="G252" s="14">
        <f>F252+E252</f>
        <v>110</v>
      </c>
      <c r="H252" s="30"/>
      <c r="I252" s="19"/>
    </row>
    <row r="253" spans="1:9" hidden="1" x14ac:dyDescent="0.2">
      <c r="A253" s="41" t="s">
        <v>1193</v>
      </c>
      <c r="B253" s="57" t="s">
        <v>1194</v>
      </c>
      <c r="C253" s="37" t="s">
        <v>2187</v>
      </c>
      <c r="D253" s="38"/>
      <c r="E253" s="11"/>
      <c r="F253" s="12"/>
      <c r="G253" s="14"/>
      <c r="H253" s="28"/>
      <c r="I253" s="29"/>
    </row>
    <row r="254" spans="1:9" ht="25.5" x14ac:dyDescent="0.2">
      <c r="A254" s="40" t="s">
        <v>1195</v>
      </c>
      <c r="B254" s="63" t="s">
        <v>215</v>
      </c>
      <c r="C254" s="37" t="s">
        <v>2204</v>
      </c>
      <c r="D254" s="38">
        <v>1</v>
      </c>
      <c r="E254" s="15">
        <v>30</v>
      </c>
      <c r="F254" s="12">
        <v>40</v>
      </c>
      <c r="G254" s="14">
        <f>F254+E254</f>
        <v>70</v>
      </c>
      <c r="H254" s="28">
        <f>IF(ISBLANK(#REF!),"",D254*G254)</f>
        <v>70</v>
      </c>
      <c r="I254" s="29">
        <f>IF(ISBLANK(#REF!),"",E254*D254)</f>
        <v>30</v>
      </c>
    </row>
    <row r="255" spans="1:9" ht="25.5" x14ac:dyDescent="0.2">
      <c r="A255" s="40" t="s">
        <v>1198</v>
      </c>
      <c r="B255" s="63" t="s">
        <v>1555</v>
      </c>
      <c r="C255" s="37" t="s">
        <v>2204</v>
      </c>
      <c r="D255" s="38">
        <v>1</v>
      </c>
      <c r="E255" s="15">
        <v>27</v>
      </c>
      <c r="F255" s="12">
        <v>20</v>
      </c>
      <c r="G255" s="14">
        <f>F255+E255</f>
        <v>47</v>
      </c>
      <c r="H255" s="28">
        <f>IF(ISBLANK(#REF!),"",D255*G255)</f>
        <v>47</v>
      </c>
      <c r="I255" s="29">
        <f>IF(ISBLANK(#REF!),"",E255*D255)</f>
        <v>27</v>
      </c>
    </row>
    <row r="256" spans="1:9" ht="38.25" hidden="1" x14ac:dyDescent="0.2">
      <c r="A256" s="39" t="s">
        <v>2015</v>
      </c>
      <c r="B256" s="57" t="s">
        <v>2016</v>
      </c>
      <c r="C256" s="37" t="s">
        <v>2187</v>
      </c>
      <c r="D256" s="38"/>
      <c r="E256" s="11"/>
      <c r="F256" s="12"/>
      <c r="G256" s="14"/>
      <c r="H256" s="28"/>
      <c r="I256" s="29"/>
    </row>
    <row r="257" spans="1:9" hidden="1" x14ac:dyDescent="0.2">
      <c r="A257" s="41" t="s">
        <v>2017</v>
      </c>
      <c r="B257" s="57" t="s">
        <v>2018</v>
      </c>
      <c r="C257" s="37" t="s">
        <v>2187</v>
      </c>
      <c r="D257" s="38"/>
      <c r="E257" s="11"/>
      <c r="F257" s="12"/>
      <c r="G257" s="14"/>
      <c r="H257" s="28"/>
      <c r="I257" s="29"/>
    </row>
    <row r="258" spans="1:9" x14ac:dyDescent="0.2">
      <c r="A258" s="40" t="s">
        <v>2019</v>
      </c>
      <c r="B258" s="63" t="s">
        <v>2020</v>
      </c>
      <c r="C258" s="37" t="s">
        <v>1946</v>
      </c>
      <c r="D258" s="38">
        <v>1</v>
      </c>
      <c r="E258" s="15">
        <v>27</v>
      </c>
      <c r="F258" s="12">
        <v>8</v>
      </c>
      <c r="G258" s="14">
        <f>F258+E258</f>
        <v>35</v>
      </c>
      <c r="H258" s="28">
        <f>IF(ISBLANK(#REF!),"",D258*G258)</f>
        <v>35</v>
      </c>
      <c r="I258" s="29">
        <f>IF(ISBLANK(#REF!),"",E258*D258)</f>
        <v>27</v>
      </c>
    </row>
    <row r="259" spans="1:9" x14ac:dyDescent="0.2">
      <c r="A259" s="40" t="s">
        <v>2025</v>
      </c>
      <c r="B259" s="63" t="s">
        <v>2026</v>
      </c>
      <c r="C259" s="37" t="s">
        <v>1946</v>
      </c>
      <c r="D259" s="38">
        <v>1</v>
      </c>
      <c r="E259" s="15">
        <v>24</v>
      </c>
      <c r="F259" s="12">
        <v>8</v>
      </c>
      <c r="G259" s="14">
        <f>F259+E259</f>
        <v>32</v>
      </c>
      <c r="H259" s="28">
        <f>IF(ISBLANK(#REF!),"",D259*G259)</f>
        <v>32</v>
      </c>
      <c r="I259" s="29">
        <f>IF(ISBLANK(#REF!),"",E259*D259)</f>
        <v>24</v>
      </c>
    </row>
    <row r="260" spans="1:9" ht="38.25" x14ac:dyDescent="0.2">
      <c r="A260" s="40" t="s">
        <v>1574</v>
      </c>
      <c r="B260" s="63" t="s">
        <v>2384</v>
      </c>
      <c r="C260" s="37" t="s">
        <v>1946</v>
      </c>
      <c r="D260" s="38">
        <v>1</v>
      </c>
      <c r="E260" s="15">
        <v>27</v>
      </c>
      <c r="F260" s="12">
        <v>8</v>
      </c>
      <c r="G260" s="14">
        <f>F260+E260</f>
        <v>35</v>
      </c>
      <c r="H260" s="28">
        <f>IF(ISBLANK(#REF!),"",D260*G260)</f>
        <v>35</v>
      </c>
      <c r="I260" s="29">
        <f>IF(ISBLANK(#REF!),"",E260*D260)</f>
        <v>27</v>
      </c>
    </row>
    <row r="261" spans="1:9" ht="38.25" x14ac:dyDescent="0.2">
      <c r="A261" s="40" t="s">
        <v>1577</v>
      </c>
      <c r="B261" s="63" t="s">
        <v>1578</v>
      </c>
      <c r="C261" s="37" t="s">
        <v>1946</v>
      </c>
      <c r="D261" s="38">
        <v>1</v>
      </c>
      <c r="E261" s="15">
        <v>7</v>
      </c>
      <c r="F261" s="12">
        <v>8</v>
      </c>
      <c r="G261" s="14">
        <f>F261+E261</f>
        <v>15</v>
      </c>
      <c r="H261" s="28">
        <f>IF(ISBLANK(#REF!),"",D261*G261)</f>
        <v>15</v>
      </c>
      <c r="I261" s="29">
        <f>IF(ISBLANK(#REF!),"",E261*D261)</f>
        <v>7</v>
      </c>
    </row>
    <row r="262" spans="1:9" ht="38.25" x14ac:dyDescent="0.2">
      <c r="A262" s="40" t="s">
        <v>1580</v>
      </c>
      <c r="B262" s="63" t="s">
        <v>2385</v>
      </c>
      <c r="C262" s="37" t="s">
        <v>1946</v>
      </c>
      <c r="D262" s="38">
        <v>1</v>
      </c>
      <c r="E262" s="15">
        <v>7</v>
      </c>
      <c r="F262" s="12">
        <v>8</v>
      </c>
      <c r="G262" s="14">
        <f>F262+E262</f>
        <v>15</v>
      </c>
      <c r="H262" s="28">
        <f>IF(ISBLANK(#REF!),"",D262*G262)</f>
        <v>15</v>
      </c>
      <c r="I262" s="29">
        <f>IF(ISBLANK(#REF!),"",E262*D262)</f>
        <v>7</v>
      </c>
    </row>
    <row r="263" spans="1:9" hidden="1" x14ac:dyDescent="0.2">
      <c r="A263" s="41" t="s">
        <v>1236</v>
      </c>
      <c r="B263" s="57" t="s">
        <v>1237</v>
      </c>
      <c r="C263" s="37" t="s">
        <v>2187</v>
      </c>
      <c r="D263" s="38"/>
      <c r="E263" s="11"/>
      <c r="F263" s="12"/>
      <c r="G263" s="14"/>
      <c r="H263" s="28"/>
      <c r="I263" s="29"/>
    </row>
    <row r="264" spans="1:9" x14ac:dyDescent="0.2">
      <c r="A264" s="40" t="s">
        <v>1238</v>
      </c>
      <c r="B264" s="63" t="s">
        <v>1239</v>
      </c>
      <c r="C264" s="37" t="s">
        <v>2215</v>
      </c>
      <c r="D264" s="38">
        <v>1</v>
      </c>
      <c r="E264" s="15">
        <v>0</v>
      </c>
      <c r="F264" s="12">
        <v>0</v>
      </c>
      <c r="G264" s="14"/>
      <c r="H264" s="28">
        <f>IF(ISBLANK(#REF!),"",D264*G264)</f>
        <v>0</v>
      </c>
      <c r="I264" s="29">
        <f>IF(ISBLANK(#REF!),"",E264*D264)</f>
        <v>0</v>
      </c>
    </row>
    <row r="265" spans="1:9" ht="25.5" x14ac:dyDescent="0.2">
      <c r="A265" s="40" t="s">
        <v>1244</v>
      </c>
      <c r="B265" s="63" t="s">
        <v>2386</v>
      </c>
      <c r="C265" s="37" t="s">
        <v>1946</v>
      </c>
      <c r="D265" s="38">
        <v>1</v>
      </c>
      <c r="E265" s="15">
        <v>80</v>
      </c>
      <c r="F265" s="12">
        <v>15</v>
      </c>
      <c r="G265" s="14">
        <f>F265+E265</f>
        <v>95</v>
      </c>
      <c r="H265" s="28">
        <f>IF(ISBLANK(#REF!),"",D265*G265)</f>
        <v>95</v>
      </c>
      <c r="I265" s="29">
        <f>IF(ISBLANK(#REF!),"",E265*D265)</f>
        <v>80</v>
      </c>
    </row>
    <row r="266" spans="1:9" ht="25.5" x14ac:dyDescent="0.2">
      <c r="A266" s="40" t="s">
        <v>1247</v>
      </c>
      <c r="B266" s="63" t="s">
        <v>216</v>
      </c>
      <c r="C266" s="37" t="s">
        <v>1946</v>
      </c>
      <c r="D266" s="38">
        <v>1</v>
      </c>
      <c r="E266" s="15">
        <v>100</v>
      </c>
      <c r="F266" s="12">
        <v>15</v>
      </c>
      <c r="G266" s="14">
        <f>F266+E266</f>
        <v>115</v>
      </c>
      <c r="H266" s="28">
        <f>IF(ISBLANK(#REF!),"",D266*G266)</f>
        <v>115</v>
      </c>
      <c r="I266" s="29">
        <f>IF(ISBLANK(#REF!),"",E266*D266)</f>
        <v>100</v>
      </c>
    </row>
    <row r="267" spans="1:9" ht="25.5" hidden="1" x14ac:dyDescent="0.2">
      <c r="A267" s="39" t="s">
        <v>838</v>
      </c>
      <c r="B267" s="57" t="s">
        <v>839</v>
      </c>
      <c r="C267" s="37" t="s">
        <v>2187</v>
      </c>
      <c r="D267" s="38"/>
      <c r="E267" s="11"/>
      <c r="F267" s="12"/>
      <c r="G267" s="13"/>
      <c r="H267" s="28"/>
      <c r="I267" s="29"/>
    </row>
    <row r="268" spans="1:9" ht="27.75" hidden="1" customHeight="1" x14ac:dyDescent="0.2">
      <c r="A268" s="41" t="s">
        <v>840</v>
      </c>
      <c r="B268" s="57" t="s">
        <v>2018</v>
      </c>
      <c r="C268" s="37" t="s">
        <v>2187</v>
      </c>
      <c r="D268" s="38"/>
      <c r="E268" s="11"/>
      <c r="F268" s="12"/>
      <c r="G268" s="13"/>
      <c r="H268" s="28"/>
      <c r="I268" s="29"/>
    </row>
    <row r="269" spans="1:9" ht="51" hidden="1" x14ac:dyDescent="0.2">
      <c r="A269" s="43" t="s">
        <v>841</v>
      </c>
      <c r="B269" s="59" t="s">
        <v>102</v>
      </c>
      <c r="C269" s="24" t="s">
        <v>2149</v>
      </c>
      <c r="D269" s="19"/>
      <c r="E269" s="15">
        <v>4</v>
      </c>
      <c r="F269" s="12">
        <v>4</v>
      </c>
      <c r="G269" s="14">
        <f t="shared" ref="G269:G274" si="4">F269+E269</f>
        <v>8</v>
      </c>
      <c r="H269" s="30"/>
      <c r="I269" s="19"/>
    </row>
    <row r="270" spans="1:9" ht="38.25" hidden="1" x14ac:dyDescent="0.2">
      <c r="A270" s="43" t="s">
        <v>1628</v>
      </c>
      <c r="B270" s="59" t="s">
        <v>103</v>
      </c>
      <c r="C270" s="24" t="s">
        <v>2149</v>
      </c>
      <c r="D270" s="19"/>
      <c r="E270" s="23">
        <v>5</v>
      </c>
      <c r="F270" s="24">
        <v>7</v>
      </c>
      <c r="G270" s="14">
        <f t="shared" si="4"/>
        <v>12</v>
      </c>
      <c r="H270" s="30"/>
      <c r="I270" s="19"/>
    </row>
    <row r="271" spans="1:9" ht="38.25" hidden="1" x14ac:dyDescent="0.2">
      <c r="A271" s="43" t="s">
        <v>1631</v>
      </c>
      <c r="B271" s="59" t="s">
        <v>104</v>
      </c>
      <c r="C271" s="24" t="s">
        <v>2149</v>
      </c>
      <c r="D271" s="19"/>
      <c r="E271" s="23">
        <v>3</v>
      </c>
      <c r="F271" s="24">
        <v>7</v>
      </c>
      <c r="G271" s="14">
        <f t="shared" si="4"/>
        <v>10</v>
      </c>
      <c r="H271" s="30"/>
      <c r="I271" s="19"/>
    </row>
    <row r="272" spans="1:9" ht="51" hidden="1" x14ac:dyDescent="0.2">
      <c r="A272" s="43" t="s">
        <v>1634</v>
      </c>
      <c r="B272" s="59" t="s">
        <v>105</v>
      </c>
      <c r="C272" s="24" t="s">
        <v>2149</v>
      </c>
      <c r="D272" s="19"/>
      <c r="E272" s="23">
        <v>4</v>
      </c>
      <c r="F272" s="24">
        <v>7</v>
      </c>
      <c r="G272" s="14">
        <f t="shared" si="4"/>
        <v>11</v>
      </c>
      <c r="H272" s="30"/>
      <c r="I272" s="19"/>
    </row>
    <row r="273" spans="1:9" ht="51" hidden="1" x14ac:dyDescent="0.2">
      <c r="A273" s="43" t="s">
        <v>1637</v>
      </c>
      <c r="B273" s="59" t="s">
        <v>106</v>
      </c>
      <c r="C273" s="24" t="s">
        <v>2149</v>
      </c>
      <c r="D273" s="19"/>
      <c r="E273" s="23">
        <v>2</v>
      </c>
      <c r="F273" s="24">
        <v>7</v>
      </c>
      <c r="G273" s="14">
        <f t="shared" si="4"/>
        <v>9</v>
      </c>
      <c r="H273" s="30"/>
      <c r="I273" s="19"/>
    </row>
    <row r="274" spans="1:9" ht="51" hidden="1" x14ac:dyDescent="0.2">
      <c r="A274" s="43" t="s">
        <v>2101</v>
      </c>
      <c r="B274" s="59" t="s">
        <v>107</v>
      </c>
      <c r="C274" s="24" t="s">
        <v>2149</v>
      </c>
      <c r="D274" s="19"/>
      <c r="E274" s="23">
        <v>2</v>
      </c>
      <c r="F274" s="24">
        <v>7</v>
      </c>
      <c r="G274" s="14">
        <f t="shared" si="4"/>
        <v>9</v>
      </c>
      <c r="H274" s="30"/>
      <c r="I274" s="19"/>
    </row>
    <row r="275" spans="1:9" ht="27.75" hidden="1" customHeight="1" x14ac:dyDescent="0.2">
      <c r="A275" s="41" t="s">
        <v>1647</v>
      </c>
      <c r="B275" s="57" t="s">
        <v>1237</v>
      </c>
      <c r="C275" s="37" t="s">
        <v>2187</v>
      </c>
      <c r="D275" s="38"/>
      <c r="E275" s="11"/>
      <c r="F275" s="12"/>
      <c r="G275" s="13"/>
      <c r="H275" s="28"/>
      <c r="I275" s="29"/>
    </row>
    <row r="276" spans="1:9" ht="38.25" x14ac:dyDescent="0.2">
      <c r="A276" s="40" t="s">
        <v>2242</v>
      </c>
      <c r="B276" s="63" t="s">
        <v>2387</v>
      </c>
      <c r="C276" s="37" t="s">
        <v>2149</v>
      </c>
      <c r="D276" s="38">
        <v>1</v>
      </c>
      <c r="E276" s="15">
        <v>17</v>
      </c>
      <c r="F276" s="12">
        <v>7</v>
      </c>
      <c r="G276" s="14">
        <f>F276+E276</f>
        <v>24</v>
      </c>
      <c r="H276" s="28">
        <f>IF(ISBLANK(#REF!),"",D276*G276)</f>
        <v>24</v>
      </c>
      <c r="I276" s="29">
        <f>IF(ISBLANK(#REF!),"",E276*D276)</f>
        <v>17</v>
      </c>
    </row>
    <row r="277" spans="1:9" hidden="1" x14ac:dyDescent="0.2">
      <c r="A277" s="41" t="s">
        <v>1673</v>
      </c>
      <c r="B277" s="57" t="s">
        <v>1674</v>
      </c>
      <c r="C277" s="37" t="s">
        <v>2187</v>
      </c>
      <c r="D277" s="38"/>
      <c r="E277" s="11"/>
      <c r="F277" s="12"/>
      <c r="G277" s="14"/>
      <c r="H277" s="28"/>
      <c r="I277" s="29"/>
    </row>
    <row r="278" spans="1:9" ht="25.5" x14ac:dyDescent="0.2">
      <c r="A278" s="40" t="s">
        <v>1675</v>
      </c>
      <c r="B278" s="63" t="s">
        <v>2388</v>
      </c>
      <c r="C278" s="37" t="s">
        <v>2149</v>
      </c>
      <c r="D278" s="38">
        <v>1</v>
      </c>
      <c r="E278" s="15">
        <v>15</v>
      </c>
      <c r="F278" s="12">
        <v>10</v>
      </c>
      <c r="G278" s="14">
        <f>F278+E278</f>
        <v>25</v>
      </c>
      <c r="H278" s="28">
        <f>IF(ISBLANK(#REF!),"",D278*G278)</f>
        <v>25</v>
      </c>
      <c r="I278" s="29">
        <f>IF(ISBLANK(#REF!),"",E278*D278)</f>
        <v>15</v>
      </c>
    </row>
    <row r="279" spans="1:9" ht="25.5" x14ac:dyDescent="0.2">
      <c r="A279" s="40" t="s">
        <v>1308</v>
      </c>
      <c r="B279" s="63" t="s">
        <v>1309</v>
      </c>
      <c r="C279" s="37" t="s">
        <v>2149</v>
      </c>
      <c r="D279" s="38">
        <v>1</v>
      </c>
      <c r="E279" s="15">
        <v>25</v>
      </c>
      <c r="F279" s="12">
        <v>20</v>
      </c>
      <c r="G279" s="14">
        <f>F279+E279</f>
        <v>45</v>
      </c>
      <c r="H279" s="28">
        <f>IF(ISBLANK(#REF!),"",D279*G279)</f>
        <v>45</v>
      </c>
      <c r="I279" s="29">
        <f>IF(ISBLANK(#REF!),"",E279*D279)</f>
        <v>25</v>
      </c>
    </row>
    <row r="280" spans="1:9" ht="25.5" x14ac:dyDescent="0.2">
      <c r="A280" s="40" t="s">
        <v>1311</v>
      </c>
      <c r="B280" s="63" t="s">
        <v>1312</v>
      </c>
      <c r="C280" s="37" t="s">
        <v>2149</v>
      </c>
      <c r="D280" s="38">
        <v>1</v>
      </c>
      <c r="E280" s="15">
        <v>40</v>
      </c>
      <c r="F280" s="12">
        <v>25</v>
      </c>
      <c r="G280" s="14">
        <f>F280+E280</f>
        <v>65</v>
      </c>
      <c r="H280" s="28">
        <f>IF(ISBLANK(#REF!),"",D280*G280)</f>
        <v>65</v>
      </c>
      <c r="I280" s="29">
        <f>IF(ISBLANK(#REF!),"",E280*D280)</f>
        <v>40</v>
      </c>
    </row>
    <row r="281" spans="1:9" ht="25.5" hidden="1" x14ac:dyDescent="0.2">
      <c r="A281" s="41" t="s">
        <v>968</v>
      </c>
      <c r="B281" s="57" t="s">
        <v>969</v>
      </c>
      <c r="C281" s="37" t="s">
        <v>2149</v>
      </c>
      <c r="D281" s="38"/>
      <c r="E281" s="11"/>
      <c r="F281" s="12"/>
      <c r="G281" s="14"/>
      <c r="H281" s="28"/>
      <c r="I281" s="29"/>
    </row>
    <row r="282" spans="1:9" ht="25.5" x14ac:dyDescent="0.2">
      <c r="A282" s="40" t="s">
        <v>970</v>
      </c>
      <c r="B282" s="63" t="s">
        <v>971</v>
      </c>
      <c r="C282" s="37" t="s">
        <v>1946</v>
      </c>
      <c r="D282" s="38">
        <v>1</v>
      </c>
      <c r="E282" s="15">
        <v>48</v>
      </c>
      <c r="F282" s="12">
        <v>5</v>
      </c>
      <c r="G282" s="14">
        <f>F282+E282</f>
        <v>53</v>
      </c>
      <c r="H282" s="28">
        <f>IF(ISBLANK(#REF!),"",D282*G282)</f>
        <v>53</v>
      </c>
      <c r="I282" s="29">
        <f>IF(ISBLANK(#REF!),"",E282*D282)</f>
        <v>48</v>
      </c>
    </row>
    <row r="283" spans="1:9" ht="25.5" x14ac:dyDescent="0.2">
      <c r="A283" s="40" t="s">
        <v>973</v>
      </c>
      <c r="B283" s="63" t="s">
        <v>217</v>
      </c>
      <c r="C283" s="37" t="s">
        <v>1946</v>
      </c>
      <c r="D283" s="38">
        <v>1</v>
      </c>
      <c r="E283" s="15">
        <v>23</v>
      </c>
      <c r="F283" s="12">
        <v>5</v>
      </c>
      <c r="G283" s="14">
        <f>F283+E283</f>
        <v>28</v>
      </c>
      <c r="H283" s="28">
        <f>IF(ISBLANK(#REF!),"",D283*G283)</f>
        <v>28</v>
      </c>
      <c r="I283" s="29">
        <f>IF(ISBLANK(#REF!),"",E283*D283)</f>
        <v>23</v>
      </c>
    </row>
    <row r="284" spans="1:9" hidden="1" x14ac:dyDescent="0.2">
      <c r="A284" s="41" t="s">
        <v>976</v>
      </c>
      <c r="B284" s="57" t="s">
        <v>977</v>
      </c>
      <c r="C284" s="37" t="s">
        <v>2187</v>
      </c>
      <c r="D284" s="38"/>
      <c r="E284" s="11"/>
      <c r="F284" s="12"/>
      <c r="G284" s="14"/>
      <c r="H284" s="28"/>
      <c r="I284" s="29"/>
    </row>
    <row r="285" spans="1:9" ht="38.25" x14ac:dyDescent="0.2">
      <c r="A285" s="40" t="s">
        <v>978</v>
      </c>
      <c r="B285" s="63" t="s">
        <v>979</v>
      </c>
      <c r="C285" s="37" t="s">
        <v>1946</v>
      </c>
      <c r="D285" s="38">
        <v>1</v>
      </c>
      <c r="E285" s="15">
        <v>112</v>
      </c>
      <c r="F285" s="12">
        <v>5</v>
      </c>
      <c r="G285" s="14">
        <f>F285+E285</f>
        <v>117</v>
      </c>
      <c r="H285" s="28">
        <f>IF(ISBLANK(#REF!),"",D285*G285)</f>
        <v>117</v>
      </c>
      <c r="I285" s="29">
        <f>IF(ISBLANK(#REF!),"",E285*D285)</f>
        <v>112</v>
      </c>
    </row>
    <row r="286" spans="1:9" hidden="1" x14ac:dyDescent="0.2">
      <c r="A286" s="39" t="s">
        <v>981</v>
      </c>
      <c r="B286" s="57" t="s">
        <v>982</v>
      </c>
      <c r="C286" s="37" t="s">
        <v>2187</v>
      </c>
      <c r="D286" s="38"/>
      <c r="E286" s="11"/>
      <c r="F286" s="12"/>
      <c r="G286" s="14"/>
      <c r="H286" s="28"/>
      <c r="I286" s="29"/>
    </row>
    <row r="287" spans="1:9" hidden="1" x14ac:dyDescent="0.2">
      <c r="A287" s="41" t="s">
        <v>983</v>
      </c>
      <c r="B287" s="57" t="s">
        <v>984</v>
      </c>
      <c r="C287" s="37" t="s">
        <v>2187</v>
      </c>
      <c r="D287" s="38"/>
      <c r="E287" s="11"/>
      <c r="F287" s="12"/>
      <c r="G287" s="14"/>
      <c r="H287" s="28"/>
      <c r="I287" s="29"/>
    </row>
    <row r="288" spans="1:9" ht="25.5" x14ac:dyDescent="0.2">
      <c r="A288" s="40" t="s">
        <v>985</v>
      </c>
      <c r="B288" s="63" t="s">
        <v>986</v>
      </c>
      <c r="C288" s="37" t="s">
        <v>2149</v>
      </c>
      <c r="D288" s="38">
        <v>1</v>
      </c>
      <c r="E288" s="15">
        <v>94</v>
      </c>
      <c r="F288" s="12">
        <v>30</v>
      </c>
      <c r="G288" s="14">
        <f t="shared" ref="G288:G304" si="5">F288+E288</f>
        <v>124</v>
      </c>
      <c r="H288" s="28">
        <f>IF(ISBLANK(#REF!),"",D288*G288)</f>
        <v>124</v>
      </c>
      <c r="I288" s="29">
        <f>IF(ISBLANK(#REF!),"",E288*D288)</f>
        <v>94</v>
      </c>
    </row>
    <row r="289" spans="1:9" ht="25.5" x14ac:dyDescent="0.2">
      <c r="A289" s="40" t="s">
        <v>988</v>
      </c>
      <c r="B289" s="63" t="s">
        <v>989</v>
      </c>
      <c r="C289" s="37" t="s">
        <v>2149</v>
      </c>
      <c r="D289" s="38">
        <v>1</v>
      </c>
      <c r="E289" s="15">
        <v>56</v>
      </c>
      <c r="F289" s="12">
        <v>45</v>
      </c>
      <c r="G289" s="14">
        <f t="shared" si="5"/>
        <v>101</v>
      </c>
      <c r="H289" s="28">
        <f>IF(ISBLANK(#REF!),"",D289*G289)</f>
        <v>101</v>
      </c>
      <c r="I289" s="29">
        <f>IF(ISBLANK(#REF!),"",E289*D289)</f>
        <v>56</v>
      </c>
    </row>
    <row r="290" spans="1:9" ht="25.5" x14ac:dyDescent="0.2">
      <c r="A290" s="40" t="s">
        <v>1371</v>
      </c>
      <c r="B290" s="63" t="s">
        <v>1372</v>
      </c>
      <c r="C290" s="37" t="s">
        <v>2149</v>
      </c>
      <c r="D290" s="38">
        <v>1</v>
      </c>
      <c r="E290" s="15">
        <v>58</v>
      </c>
      <c r="F290" s="12">
        <v>30</v>
      </c>
      <c r="G290" s="14">
        <f t="shared" si="5"/>
        <v>88</v>
      </c>
      <c r="H290" s="28">
        <f>IF(ISBLANK(#REF!),"",D290*G290)</f>
        <v>88</v>
      </c>
      <c r="I290" s="29">
        <f>IF(ISBLANK(#REF!),"",E290*D290)</f>
        <v>58</v>
      </c>
    </row>
    <row r="291" spans="1:9" ht="25.5" hidden="1" x14ac:dyDescent="0.2">
      <c r="A291" s="40" t="s">
        <v>1374</v>
      </c>
      <c r="B291" s="58" t="s">
        <v>108</v>
      </c>
      <c r="C291" s="37" t="s">
        <v>2149</v>
      </c>
      <c r="D291" s="38">
        <v>1</v>
      </c>
      <c r="E291" s="15">
        <v>0</v>
      </c>
      <c r="F291" s="12">
        <v>20</v>
      </c>
      <c r="G291" s="14">
        <f t="shared" si="5"/>
        <v>20</v>
      </c>
      <c r="H291" s="28"/>
      <c r="I291" s="29"/>
    </row>
    <row r="292" spans="1:9" ht="25.5" hidden="1" x14ac:dyDescent="0.2">
      <c r="A292" s="40" t="s">
        <v>1374</v>
      </c>
      <c r="B292" s="58" t="s">
        <v>110</v>
      </c>
      <c r="C292" s="37" t="s">
        <v>2149</v>
      </c>
      <c r="D292" s="38">
        <v>1</v>
      </c>
      <c r="E292" s="15">
        <v>0</v>
      </c>
      <c r="F292" s="12">
        <v>20</v>
      </c>
      <c r="G292" s="14">
        <f t="shared" si="5"/>
        <v>20</v>
      </c>
      <c r="H292" s="28"/>
      <c r="I292" s="29"/>
    </row>
    <row r="293" spans="1:9" ht="38.25" x14ac:dyDescent="0.2">
      <c r="A293" s="40" t="s">
        <v>1754</v>
      </c>
      <c r="B293" s="63" t="s">
        <v>1375</v>
      </c>
      <c r="C293" s="37" t="s">
        <v>2149</v>
      </c>
      <c r="D293" s="38">
        <v>1</v>
      </c>
      <c r="E293" s="15">
        <v>92</v>
      </c>
      <c r="F293" s="12">
        <v>25</v>
      </c>
      <c r="G293" s="14">
        <f t="shared" si="5"/>
        <v>117</v>
      </c>
      <c r="H293" s="28">
        <f>IF(ISBLANK(#REF!),"",D293*G293)</f>
        <v>117</v>
      </c>
      <c r="I293" s="29">
        <f>IF(ISBLANK(#REF!),"",E293*D293)</f>
        <v>92</v>
      </c>
    </row>
    <row r="294" spans="1:9" ht="25.5" x14ac:dyDescent="0.2">
      <c r="A294" s="40" t="s">
        <v>1757</v>
      </c>
      <c r="B294" s="63" t="s">
        <v>1755</v>
      </c>
      <c r="C294" s="37" t="s">
        <v>2149</v>
      </c>
      <c r="D294" s="38">
        <v>1</v>
      </c>
      <c r="E294" s="15">
        <v>56</v>
      </c>
      <c r="F294" s="12">
        <v>25</v>
      </c>
      <c r="G294" s="14">
        <f t="shared" si="5"/>
        <v>81</v>
      </c>
      <c r="H294" s="28">
        <f>IF(ISBLANK(#REF!),"",D294*G294)</f>
        <v>81</v>
      </c>
      <c r="I294" s="29">
        <f>IF(ISBLANK(#REF!),"",E294*D294)</f>
        <v>56</v>
      </c>
    </row>
    <row r="295" spans="1:9" ht="25.5" x14ac:dyDescent="0.2">
      <c r="A295" s="40" t="s">
        <v>109</v>
      </c>
      <c r="B295" s="63" t="s">
        <v>1758</v>
      </c>
      <c r="C295" s="37" t="s">
        <v>2149</v>
      </c>
      <c r="D295" s="38">
        <v>1</v>
      </c>
      <c r="E295" s="15">
        <v>7</v>
      </c>
      <c r="F295" s="12">
        <v>30</v>
      </c>
      <c r="G295" s="14">
        <f t="shared" si="5"/>
        <v>37</v>
      </c>
      <c r="H295" s="28">
        <f>IF(ISBLANK(#REF!),"",D295*G295)</f>
        <v>37</v>
      </c>
      <c r="I295" s="29">
        <f>IF(ISBLANK(#REF!),"",E295*D295)</f>
        <v>7</v>
      </c>
    </row>
    <row r="296" spans="1:9" ht="25.5" x14ac:dyDescent="0.2">
      <c r="A296" s="40" t="s">
        <v>1760</v>
      </c>
      <c r="B296" s="63" t="s">
        <v>1385</v>
      </c>
      <c r="C296" s="37" t="s">
        <v>2149</v>
      </c>
      <c r="D296" s="38">
        <v>1</v>
      </c>
      <c r="E296" s="15">
        <v>69</v>
      </c>
      <c r="F296" s="12">
        <v>45</v>
      </c>
      <c r="G296" s="14">
        <f t="shared" si="5"/>
        <v>114</v>
      </c>
      <c r="H296" s="28">
        <f>IF(ISBLANK(#REF!),"",D296*G296)</f>
        <v>114</v>
      </c>
      <c r="I296" s="29">
        <f>IF(ISBLANK(#REF!),"",E296*D296)</f>
        <v>69</v>
      </c>
    </row>
    <row r="297" spans="1:9" ht="25.5" x14ac:dyDescent="0.2">
      <c r="A297" s="40" t="s">
        <v>1003</v>
      </c>
      <c r="B297" s="63" t="s">
        <v>1004</v>
      </c>
      <c r="C297" s="37" t="s">
        <v>2149</v>
      </c>
      <c r="D297" s="38">
        <v>1</v>
      </c>
      <c r="E297" s="15">
        <v>132</v>
      </c>
      <c r="F297" s="12">
        <v>45</v>
      </c>
      <c r="G297" s="14">
        <f t="shared" si="5"/>
        <v>177</v>
      </c>
      <c r="H297" s="28">
        <f>IF(ISBLANK(#REF!),"",D297*G297)</f>
        <v>177</v>
      </c>
      <c r="I297" s="29">
        <f>IF(ISBLANK(#REF!),"",E297*D297)</f>
        <v>132</v>
      </c>
    </row>
    <row r="298" spans="1:9" hidden="1" x14ac:dyDescent="0.2">
      <c r="A298" s="41" t="s">
        <v>1773</v>
      </c>
      <c r="B298" s="57" t="s">
        <v>1774</v>
      </c>
      <c r="C298" s="37" t="s">
        <v>2187</v>
      </c>
      <c r="D298" s="38"/>
      <c r="E298" s="11"/>
      <c r="F298" s="12"/>
      <c r="G298" s="14">
        <f t="shared" si="5"/>
        <v>0</v>
      </c>
      <c r="H298" s="28"/>
      <c r="I298" s="29"/>
    </row>
    <row r="299" spans="1:9" ht="25.5" x14ac:dyDescent="0.2">
      <c r="A299" s="40" t="s">
        <v>1775</v>
      </c>
      <c r="B299" s="63" t="s">
        <v>1776</v>
      </c>
      <c r="C299" s="37" t="s">
        <v>2149</v>
      </c>
      <c r="D299" s="38">
        <v>1</v>
      </c>
      <c r="E299" s="15">
        <v>0</v>
      </c>
      <c r="F299" s="12">
        <v>45</v>
      </c>
      <c r="G299" s="14">
        <f t="shared" si="5"/>
        <v>45</v>
      </c>
      <c r="H299" s="28">
        <f>IF(ISBLANK(#REF!),"",D299*G299)</f>
        <v>45</v>
      </c>
      <c r="I299" s="29">
        <f>IF(ISBLANK(#REF!),"",E299*D299)</f>
        <v>0</v>
      </c>
    </row>
    <row r="300" spans="1:9" hidden="1" x14ac:dyDescent="0.2">
      <c r="A300" s="41" t="s">
        <v>1786</v>
      </c>
      <c r="B300" s="57" t="s">
        <v>1787</v>
      </c>
      <c r="C300" s="37" t="s">
        <v>2187</v>
      </c>
      <c r="D300" s="38"/>
      <c r="E300" s="11"/>
      <c r="F300" s="12"/>
      <c r="G300" s="14">
        <f t="shared" si="5"/>
        <v>0</v>
      </c>
      <c r="H300" s="28"/>
      <c r="I300" s="29"/>
    </row>
    <row r="301" spans="1:9" ht="25.5" x14ac:dyDescent="0.2">
      <c r="A301" s="40" t="s">
        <v>1788</v>
      </c>
      <c r="B301" s="63" t="s">
        <v>111</v>
      </c>
      <c r="C301" s="37" t="s">
        <v>2149</v>
      </c>
      <c r="D301" s="38">
        <v>1</v>
      </c>
      <c r="E301" s="15">
        <v>66</v>
      </c>
      <c r="F301" s="12">
        <v>20</v>
      </c>
      <c r="G301" s="14">
        <f t="shared" si="5"/>
        <v>86</v>
      </c>
      <c r="H301" s="28">
        <f>IF(ISBLANK(#REF!),"",D301*G301)</f>
        <v>86</v>
      </c>
      <c r="I301" s="29">
        <f>IF(ISBLANK(#REF!),"",E301*D301)</f>
        <v>66</v>
      </c>
    </row>
    <row r="302" spans="1:9" ht="25.5" x14ac:dyDescent="0.2">
      <c r="A302" s="40" t="s">
        <v>1791</v>
      </c>
      <c r="B302" s="63" t="s">
        <v>1792</v>
      </c>
      <c r="C302" s="37" t="s">
        <v>2149</v>
      </c>
      <c r="D302" s="38">
        <v>1</v>
      </c>
      <c r="E302" s="15">
        <v>0</v>
      </c>
      <c r="F302" s="12">
        <v>0</v>
      </c>
      <c r="G302" s="14">
        <f t="shared" si="5"/>
        <v>0</v>
      </c>
      <c r="H302" s="28">
        <f>IF(ISBLANK(#REF!),"",D302*G302)</f>
        <v>0</v>
      </c>
      <c r="I302" s="29">
        <f>IF(ISBLANK(#REF!),"",E302*D302)</f>
        <v>0</v>
      </c>
    </row>
    <row r="303" spans="1:9" ht="25.5" x14ac:dyDescent="0.2">
      <c r="A303" s="40" t="s">
        <v>1407</v>
      </c>
      <c r="B303" s="63" t="s">
        <v>112</v>
      </c>
      <c r="C303" s="37" t="s">
        <v>2149</v>
      </c>
      <c r="D303" s="38">
        <v>1</v>
      </c>
      <c r="E303" s="15">
        <v>64</v>
      </c>
      <c r="F303" s="12">
        <v>20</v>
      </c>
      <c r="G303" s="14">
        <f t="shared" si="5"/>
        <v>84</v>
      </c>
      <c r="H303" s="28">
        <f>IF(ISBLANK(#REF!),"",D303*G303)</f>
        <v>84</v>
      </c>
      <c r="I303" s="29">
        <f>IF(ISBLANK(#REF!),"",E303*D303)</f>
        <v>64</v>
      </c>
    </row>
    <row r="304" spans="1:9" ht="38.25" x14ac:dyDescent="0.2">
      <c r="A304" s="40" t="s">
        <v>1410</v>
      </c>
      <c r="B304" s="63" t="s">
        <v>1411</v>
      </c>
      <c r="C304" s="37" t="s">
        <v>2149</v>
      </c>
      <c r="D304" s="38">
        <v>1</v>
      </c>
      <c r="E304" s="15">
        <f>4+1</f>
        <v>5</v>
      </c>
      <c r="F304" s="12">
        <v>20</v>
      </c>
      <c r="G304" s="14">
        <f t="shared" si="5"/>
        <v>25</v>
      </c>
      <c r="H304" s="28">
        <f>IF(ISBLANK(#REF!),"",D304*G304)</f>
        <v>25</v>
      </c>
      <c r="I304" s="29">
        <f>IF(ISBLANK(#REF!),"",E304*D304)</f>
        <v>5</v>
      </c>
    </row>
    <row r="305" spans="1:9" hidden="1" x14ac:dyDescent="0.2">
      <c r="A305" s="41" t="s">
        <v>1413</v>
      </c>
      <c r="B305" s="57" t="s">
        <v>1414</v>
      </c>
      <c r="C305" s="37" t="s">
        <v>2187</v>
      </c>
      <c r="D305" s="38"/>
      <c r="E305" s="11"/>
      <c r="F305" s="12"/>
      <c r="G305" s="14"/>
      <c r="H305" s="28"/>
      <c r="I305" s="29"/>
    </row>
    <row r="306" spans="1:9" ht="25.5" x14ac:dyDescent="0.2">
      <c r="A306" s="40" t="s">
        <v>1415</v>
      </c>
      <c r="B306" s="63" t="s">
        <v>1046</v>
      </c>
      <c r="C306" s="37" t="s">
        <v>2149</v>
      </c>
      <c r="D306" s="38">
        <v>1</v>
      </c>
      <c r="E306" s="15">
        <f>4+1</f>
        <v>5</v>
      </c>
      <c r="F306" s="12">
        <v>20</v>
      </c>
      <c r="G306" s="14">
        <f>F306+E306</f>
        <v>25</v>
      </c>
      <c r="H306" s="28">
        <f>IF(ISBLANK(#REF!),"",D306*G306)</f>
        <v>25</v>
      </c>
      <c r="I306" s="29">
        <f>IF(ISBLANK(#REF!),"",E306*D306)</f>
        <v>5</v>
      </c>
    </row>
    <row r="307" spans="1:9" ht="25.5" x14ac:dyDescent="0.2">
      <c r="A307" s="40" t="s">
        <v>1048</v>
      </c>
      <c r="B307" s="63" t="s">
        <v>1049</v>
      </c>
      <c r="C307" s="37" t="s">
        <v>2149</v>
      </c>
      <c r="D307" s="38">
        <v>1</v>
      </c>
      <c r="E307" s="15">
        <v>16</v>
      </c>
      <c r="F307" s="12">
        <v>15</v>
      </c>
      <c r="G307" s="14">
        <f>F307+E307</f>
        <v>31</v>
      </c>
      <c r="H307" s="28">
        <f>IF(ISBLANK(#REF!),"",D307*G307)</f>
        <v>31</v>
      </c>
      <c r="I307" s="29">
        <f>IF(ISBLANK(#REF!),"",E307*D307)</f>
        <v>16</v>
      </c>
    </row>
    <row r="308" spans="1:9" hidden="1" x14ac:dyDescent="0.2">
      <c r="A308" s="40" t="s">
        <v>1048</v>
      </c>
      <c r="B308" s="58" t="s">
        <v>113</v>
      </c>
      <c r="C308" s="37" t="s">
        <v>2149</v>
      </c>
      <c r="D308" s="38">
        <v>1</v>
      </c>
      <c r="E308" s="15">
        <v>0</v>
      </c>
      <c r="F308" s="12">
        <v>0</v>
      </c>
      <c r="G308" s="14">
        <f>F308+E308</f>
        <v>0</v>
      </c>
      <c r="H308" s="28"/>
      <c r="I308" s="29"/>
    </row>
    <row r="309" spans="1:9" ht="25.5" hidden="1" x14ac:dyDescent="0.2">
      <c r="A309" s="41" t="s">
        <v>1051</v>
      </c>
      <c r="B309" s="57" t="s">
        <v>1052</v>
      </c>
      <c r="C309" s="37" t="s">
        <v>2187</v>
      </c>
      <c r="D309" s="38"/>
      <c r="E309" s="11"/>
      <c r="F309" s="12"/>
      <c r="G309" s="14"/>
      <c r="H309" s="28"/>
      <c r="I309" s="29"/>
    </row>
    <row r="310" spans="1:9" ht="25.5" x14ac:dyDescent="0.2">
      <c r="A310" s="42" t="s">
        <v>1053</v>
      </c>
      <c r="B310" s="63" t="s">
        <v>2549</v>
      </c>
      <c r="C310" s="37" t="s">
        <v>2149</v>
      </c>
      <c r="D310" s="38">
        <v>1</v>
      </c>
      <c r="E310" s="15">
        <v>212</v>
      </c>
      <c r="F310" s="12">
        <v>12</v>
      </c>
      <c r="G310" s="14">
        <f>F310+E310</f>
        <v>224</v>
      </c>
      <c r="H310" s="28">
        <f>IF(ISBLANK(#REF!),"",D310*G310)</f>
        <v>224</v>
      </c>
      <c r="I310" s="29">
        <f>IF(ISBLANK(#REF!),"",E310*D310)</f>
        <v>212</v>
      </c>
    </row>
    <row r="311" spans="1:9" ht="25.5" x14ac:dyDescent="0.2">
      <c r="A311" s="42" t="s">
        <v>1056</v>
      </c>
      <c r="B311" s="63" t="s">
        <v>2550</v>
      </c>
      <c r="C311" s="37" t="s">
        <v>2149</v>
      </c>
      <c r="D311" s="38">
        <v>1</v>
      </c>
      <c r="E311" s="15">
        <v>80</v>
      </c>
      <c r="F311" s="12">
        <v>12</v>
      </c>
      <c r="G311" s="14">
        <f>F311+E311</f>
        <v>92</v>
      </c>
      <c r="H311" s="28">
        <f>IF(ISBLANK(#REF!),"",D311*G311)</f>
        <v>92</v>
      </c>
      <c r="I311" s="29">
        <f>IF(ISBLANK(#REF!),"",E311*D311)</f>
        <v>80</v>
      </c>
    </row>
    <row r="312" spans="1:9" hidden="1" x14ac:dyDescent="0.2">
      <c r="A312" s="35" t="s">
        <v>1421</v>
      </c>
      <c r="B312" s="57" t="s">
        <v>1422</v>
      </c>
      <c r="C312" s="37" t="s">
        <v>2187</v>
      </c>
      <c r="D312" s="38"/>
      <c r="E312" s="11"/>
      <c r="F312" s="12"/>
      <c r="G312" s="14">
        <f>F312+E312</f>
        <v>0</v>
      </c>
      <c r="H312" s="28"/>
      <c r="I312" s="29"/>
    </row>
    <row r="313" spans="1:9" ht="25.5" hidden="1" x14ac:dyDescent="0.2">
      <c r="A313" s="39" t="s">
        <v>1423</v>
      </c>
      <c r="B313" s="57" t="s">
        <v>1424</v>
      </c>
      <c r="C313" s="37" t="s">
        <v>2187</v>
      </c>
      <c r="D313" s="38"/>
      <c r="E313" s="11"/>
      <c r="F313" s="12"/>
      <c r="G313" s="13"/>
      <c r="H313" s="28"/>
      <c r="I313" s="29"/>
    </row>
    <row r="314" spans="1:9" hidden="1" x14ac:dyDescent="0.2">
      <c r="A314" s="41" t="s">
        <v>1425</v>
      </c>
      <c r="B314" s="57" t="s">
        <v>1426</v>
      </c>
      <c r="C314" s="37" t="s">
        <v>2187</v>
      </c>
      <c r="D314" s="38"/>
      <c r="E314" s="11"/>
      <c r="F314" s="12"/>
      <c r="G314" s="13"/>
      <c r="H314" s="28"/>
      <c r="I314" s="29"/>
    </row>
    <row r="315" spans="1:9" ht="38.25" x14ac:dyDescent="0.2">
      <c r="A315" s="40" t="s">
        <v>1427</v>
      </c>
      <c r="B315" s="63" t="s">
        <v>1058</v>
      </c>
      <c r="C315" s="37" t="s">
        <v>2204</v>
      </c>
      <c r="D315" s="38">
        <v>1</v>
      </c>
      <c r="E315" s="15">
        <v>0</v>
      </c>
      <c r="F315" s="12">
        <v>0</v>
      </c>
      <c r="G315" s="14">
        <f>F315+E315</f>
        <v>0</v>
      </c>
      <c r="H315" s="28">
        <f>IF(ISBLANK(#REF!),"",D315*G315)</f>
        <v>0</v>
      </c>
      <c r="I315" s="29">
        <f>IF(ISBLANK(#REF!),"",E315*D315)</f>
        <v>0</v>
      </c>
    </row>
    <row r="316" spans="1:9" ht="25.5" x14ac:dyDescent="0.2">
      <c r="A316" s="40" t="s">
        <v>1458</v>
      </c>
      <c r="B316" s="63" t="s">
        <v>2551</v>
      </c>
      <c r="C316" s="37" t="s">
        <v>2204</v>
      </c>
      <c r="D316" s="38">
        <v>1</v>
      </c>
      <c r="E316" s="15">
        <v>0</v>
      </c>
      <c r="F316" s="12">
        <v>0</v>
      </c>
      <c r="G316" s="14">
        <f>F316+E316</f>
        <v>0</v>
      </c>
      <c r="H316" s="28">
        <f>IF(ISBLANK(#REF!),"",D316*G316)</f>
        <v>0</v>
      </c>
      <c r="I316" s="29">
        <f>IF(ISBLANK(#REF!),"",E316*D316)</f>
        <v>0</v>
      </c>
    </row>
    <row r="317" spans="1:9" ht="25.5" x14ac:dyDescent="0.2">
      <c r="A317" s="42" t="s">
        <v>1881</v>
      </c>
      <c r="B317" s="63" t="s">
        <v>1882</v>
      </c>
      <c r="C317" s="37" t="s">
        <v>2108</v>
      </c>
      <c r="D317" s="38">
        <v>1</v>
      </c>
      <c r="E317" s="15">
        <v>0</v>
      </c>
      <c r="F317" s="12">
        <v>0</v>
      </c>
      <c r="G317" s="14">
        <f>F317+E317</f>
        <v>0</v>
      </c>
      <c r="H317" s="28">
        <f>IF(ISBLANK(#REF!),"",D317*G317)</f>
        <v>0</v>
      </c>
      <c r="I317" s="29">
        <f>IF(ISBLANK(#REF!),"",E317*D317)</f>
        <v>0</v>
      </c>
    </row>
    <row r="318" spans="1:9" ht="25.5" x14ac:dyDescent="0.2">
      <c r="A318" s="42" t="s">
        <v>1158</v>
      </c>
      <c r="B318" s="63" t="s">
        <v>1159</v>
      </c>
      <c r="C318" s="37" t="s">
        <v>2108</v>
      </c>
      <c r="D318" s="38">
        <v>1</v>
      </c>
      <c r="E318" s="15">
        <v>0</v>
      </c>
      <c r="F318" s="12">
        <v>0</v>
      </c>
      <c r="G318" s="14">
        <f>F318+E318</f>
        <v>0</v>
      </c>
      <c r="H318" s="28">
        <f>IF(ISBLANK(#REF!),"",D318*G318)</f>
        <v>0</v>
      </c>
      <c r="I318" s="29">
        <f>IF(ISBLANK(#REF!),"",E318*D318)</f>
        <v>0</v>
      </c>
    </row>
    <row r="319" spans="1:9" ht="25.5" hidden="1" x14ac:dyDescent="0.2">
      <c r="A319" s="41" t="s">
        <v>1651</v>
      </c>
      <c r="B319" s="57" t="s">
        <v>1652</v>
      </c>
      <c r="C319" s="37" t="s">
        <v>2187</v>
      </c>
      <c r="D319" s="38"/>
      <c r="E319" s="11"/>
      <c r="F319" s="12"/>
      <c r="G319" s="14"/>
      <c r="H319" s="28"/>
      <c r="I319" s="29"/>
    </row>
    <row r="320" spans="1:9" ht="25.5" x14ac:dyDescent="0.2">
      <c r="A320" s="42" t="s">
        <v>1653</v>
      </c>
      <c r="B320" s="63" t="s">
        <v>1654</v>
      </c>
      <c r="C320" s="37" t="s">
        <v>2204</v>
      </c>
      <c r="D320" s="38">
        <v>1</v>
      </c>
      <c r="E320" s="15">
        <v>8</v>
      </c>
      <c r="F320" s="12">
        <v>3</v>
      </c>
      <c r="G320" s="14">
        <f>F320+E320</f>
        <v>11</v>
      </c>
      <c r="H320" s="28">
        <f>IF(ISBLANK(#REF!),"",D320*G320)</f>
        <v>11</v>
      </c>
      <c r="I320" s="29">
        <f>IF(ISBLANK(#REF!),"",E320*D320)</f>
        <v>8</v>
      </c>
    </row>
    <row r="321" spans="1:9" ht="25.5" x14ac:dyDescent="0.2">
      <c r="A321" s="40" t="s">
        <v>1656</v>
      </c>
      <c r="B321" s="63" t="s">
        <v>74</v>
      </c>
      <c r="C321" s="37" t="s">
        <v>2204</v>
      </c>
      <c r="D321" s="38">
        <v>1</v>
      </c>
      <c r="E321" s="15">
        <v>16</v>
      </c>
      <c r="F321" s="12">
        <v>45</v>
      </c>
      <c r="G321" s="14">
        <f>F321+E321</f>
        <v>61</v>
      </c>
      <c r="H321" s="28">
        <f>IF(ISBLANK(#REF!),"",D321*G321)</f>
        <v>61</v>
      </c>
      <c r="I321" s="29">
        <f>IF(ISBLANK(#REF!),"",E321*D321)</f>
        <v>16</v>
      </c>
    </row>
    <row r="322" spans="1:9" ht="25.5" x14ac:dyDescent="0.2">
      <c r="A322" s="42" t="s">
        <v>1269</v>
      </c>
      <c r="B322" s="63" t="s">
        <v>2552</v>
      </c>
      <c r="C322" s="37" t="s">
        <v>2204</v>
      </c>
      <c r="D322" s="38">
        <v>1</v>
      </c>
      <c r="E322" s="15">
        <v>10</v>
      </c>
      <c r="F322" s="12">
        <v>20</v>
      </c>
      <c r="G322" s="14">
        <f>F322+E322</f>
        <v>30</v>
      </c>
      <c r="H322" s="28">
        <f>IF(ISBLANK(#REF!),"",D322*G322)</f>
        <v>30</v>
      </c>
      <c r="I322" s="29">
        <f>IF(ISBLANK(#REF!),"",E322*D322)</f>
        <v>10</v>
      </c>
    </row>
    <row r="323" spans="1:9" ht="38.25" x14ac:dyDescent="0.2">
      <c r="A323" s="42" t="s">
        <v>1661</v>
      </c>
      <c r="B323" s="63" t="s">
        <v>1662</v>
      </c>
      <c r="C323" s="37" t="s">
        <v>2108</v>
      </c>
      <c r="D323" s="38">
        <v>1</v>
      </c>
      <c r="E323" s="15">
        <v>0</v>
      </c>
      <c r="F323" s="12">
        <v>0</v>
      </c>
      <c r="G323" s="14">
        <f>F323+E323</f>
        <v>0</v>
      </c>
      <c r="H323" s="28">
        <f>IF(ISBLANK(#REF!),"",D323*G323)</f>
        <v>0</v>
      </c>
      <c r="I323" s="29">
        <f>IF(ISBLANK(#REF!),"",E323*D323)</f>
        <v>0</v>
      </c>
    </row>
    <row r="324" spans="1:9" ht="25.5" x14ac:dyDescent="0.2">
      <c r="A324" s="42" t="s">
        <v>1664</v>
      </c>
      <c r="B324" s="63" t="s">
        <v>1665</v>
      </c>
      <c r="C324" s="37" t="s">
        <v>2108</v>
      </c>
      <c r="D324" s="38">
        <v>1</v>
      </c>
      <c r="E324" s="15">
        <v>70</v>
      </c>
      <c r="F324" s="12">
        <v>100</v>
      </c>
      <c r="G324" s="14">
        <f>F324+E324</f>
        <v>170</v>
      </c>
      <c r="H324" s="28">
        <f>IF(ISBLANK(#REF!),"",D324*G324)</f>
        <v>170</v>
      </c>
      <c r="I324" s="29">
        <f>IF(ISBLANK(#REF!),"",E324*D324)</f>
        <v>70</v>
      </c>
    </row>
    <row r="325" spans="1:9" hidden="1" x14ac:dyDescent="0.2">
      <c r="A325" s="39" t="s">
        <v>958</v>
      </c>
      <c r="B325" s="57" t="s">
        <v>959</v>
      </c>
      <c r="C325" s="37" t="s">
        <v>2187</v>
      </c>
      <c r="D325" s="38"/>
      <c r="E325" s="11"/>
      <c r="F325" s="12"/>
      <c r="G325" s="14"/>
      <c r="H325" s="28"/>
      <c r="I325" s="29"/>
    </row>
    <row r="326" spans="1:9" ht="25.5" hidden="1" x14ac:dyDescent="0.2">
      <c r="A326" s="41" t="s">
        <v>960</v>
      </c>
      <c r="B326" s="57" t="s">
        <v>961</v>
      </c>
      <c r="C326" s="37" t="s">
        <v>2187</v>
      </c>
      <c r="D326" s="38"/>
      <c r="E326" s="11"/>
      <c r="F326" s="12"/>
      <c r="G326" s="14"/>
      <c r="H326" s="28"/>
      <c r="I326" s="29"/>
    </row>
    <row r="327" spans="1:9" ht="25.5" x14ac:dyDescent="0.2">
      <c r="A327" s="42" t="s">
        <v>962</v>
      </c>
      <c r="B327" s="63" t="s">
        <v>114</v>
      </c>
      <c r="C327" s="37" t="s">
        <v>2108</v>
      </c>
      <c r="D327" s="38">
        <v>1</v>
      </c>
      <c r="E327" s="15">
        <v>55</v>
      </c>
      <c r="F327" s="12">
        <v>30</v>
      </c>
      <c r="G327" s="14">
        <f t="shared" ref="G327:G332" si="6">F327+E327</f>
        <v>85</v>
      </c>
      <c r="H327" s="28">
        <f>IF(ISBLANK(#REF!),"",D327*G327)</f>
        <v>85</v>
      </c>
      <c r="I327" s="29">
        <f>IF(ISBLANK(#REF!),"",E327*D327)</f>
        <v>55</v>
      </c>
    </row>
    <row r="328" spans="1:9" ht="25.5" x14ac:dyDescent="0.2">
      <c r="A328" s="42" t="s">
        <v>965</v>
      </c>
      <c r="B328" s="63" t="s">
        <v>115</v>
      </c>
      <c r="C328" s="37" t="s">
        <v>2108</v>
      </c>
      <c r="D328" s="38">
        <v>1</v>
      </c>
      <c r="E328" s="15">
        <v>50</v>
      </c>
      <c r="F328" s="12">
        <v>21</v>
      </c>
      <c r="G328" s="14">
        <f t="shared" si="6"/>
        <v>71</v>
      </c>
      <c r="H328" s="28">
        <f>IF(ISBLANK(#REF!),"",D328*G328)</f>
        <v>71</v>
      </c>
      <c r="I328" s="29">
        <f>IF(ISBLANK(#REF!),"",E328*D328)</f>
        <v>50</v>
      </c>
    </row>
    <row r="329" spans="1:9" ht="25.5" x14ac:dyDescent="0.2">
      <c r="A329" s="42" t="s">
        <v>550</v>
      </c>
      <c r="B329" s="63" t="s">
        <v>116</v>
      </c>
      <c r="C329" s="37" t="s">
        <v>2108</v>
      </c>
      <c r="D329" s="38">
        <v>1</v>
      </c>
      <c r="E329" s="15">
        <v>72</v>
      </c>
      <c r="F329" s="12">
        <v>26</v>
      </c>
      <c r="G329" s="14">
        <f t="shared" si="6"/>
        <v>98</v>
      </c>
      <c r="H329" s="28">
        <f>IF(ISBLANK(#REF!),"",D329*G329)</f>
        <v>98</v>
      </c>
      <c r="I329" s="29">
        <f>IF(ISBLANK(#REF!),"",E329*D329)</f>
        <v>72</v>
      </c>
    </row>
    <row r="330" spans="1:9" x14ac:dyDescent="0.2">
      <c r="A330" s="42" t="s">
        <v>994</v>
      </c>
      <c r="B330" s="63" t="s">
        <v>995</v>
      </c>
      <c r="C330" s="37" t="s">
        <v>2108</v>
      </c>
      <c r="D330" s="38">
        <v>1</v>
      </c>
      <c r="E330" s="15">
        <v>0</v>
      </c>
      <c r="F330" s="12">
        <v>0</v>
      </c>
      <c r="G330" s="14">
        <f t="shared" si="6"/>
        <v>0</v>
      </c>
      <c r="H330" s="28">
        <f>IF(ISBLANK(#REF!),"",D330*G330)</f>
        <v>0</v>
      </c>
      <c r="I330" s="29">
        <f>IF(ISBLANK(#REF!),"",E330*D330)</f>
        <v>0</v>
      </c>
    </row>
    <row r="331" spans="1:9" ht="25.5" x14ac:dyDescent="0.2">
      <c r="A331" s="40" t="s">
        <v>997</v>
      </c>
      <c r="B331" s="63" t="s">
        <v>998</v>
      </c>
      <c r="C331" s="37" t="s">
        <v>2108</v>
      </c>
      <c r="D331" s="38">
        <v>1</v>
      </c>
      <c r="E331" s="15">
        <v>53</v>
      </c>
      <c r="F331" s="12">
        <v>12</v>
      </c>
      <c r="G331" s="14">
        <f t="shared" si="6"/>
        <v>65</v>
      </c>
      <c r="H331" s="28">
        <f>IF(ISBLANK(#REF!),"",D331*G331)</f>
        <v>65</v>
      </c>
      <c r="I331" s="29">
        <f>IF(ISBLANK(#REF!),"",E331*D331)</f>
        <v>53</v>
      </c>
    </row>
    <row r="332" spans="1:9" ht="38.25" x14ac:dyDescent="0.2">
      <c r="A332" s="40" t="s">
        <v>1000</v>
      </c>
      <c r="B332" s="63" t="s">
        <v>1001</v>
      </c>
      <c r="C332" s="37" t="s">
        <v>2108</v>
      </c>
      <c r="D332" s="38">
        <v>1</v>
      </c>
      <c r="E332" s="15">
        <v>65</v>
      </c>
      <c r="F332" s="12">
        <v>15</v>
      </c>
      <c r="G332" s="14">
        <f t="shared" si="6"/>
        <v>80</v>
      </c>
      <c r="H332" s="28">
        <f>IF(ISBLANK(#REF!),"",D332*G332)</f>
        <v>80</v>
      </c>
      <c r="I332" s="29">
        <f>IF(ISBLANK(#REF!),"",E332*D332)</f>
        <v>65</v>
      </c>
    </row>
    <row r="333" spans="1:9" ht="25.5" hidden="1" x14ac:dyDescent="0.2">
      <c r="A333" s="41" t="s">
        <v>567</v>
      </c>
      <c r="B333" s="57" t="s">
        <v>568</v>
      </c>
      <c r="C333" s="37" t="s">
        <v>2187</v>
      </c>
      <c r="D333" s="38"/>
      <c r="E333" s="11"/>
      <c r="F333" s="12"/>
      <c r="G333" s="14"/>
      <c r="H333" s="28"/>
      <c r="I333" s="29"/>
    </row>
    <row r="334" spans="1:9" ht="25.5" x14ac:dyDescent="0.2">
      <c r="A334" s="40" t="s">
        <v>569</v>
      </c>
      <c r="B334" s="63" t="s">
        <v>570</v>
      </c>
      <c r="C334" s="37" t="s">
        <v>2108</v>
      </c>
      <c r="D334" s="38">
        <v>1</v>
      </c>
      <c r="E334" s="15">
        <v>670</v>
      </c>
      <c r="F334" s="12">
        <v>20</v>
      </c>
      <c r="G334" s="14">
        <f>F334+E334</f>
        <v>690</v>
      </c>
      <c r="H334" s="28">
        <f>IF(ISBLANK(#REF!),"",D334*G334)</f>
        <v>690</v>
      </c>
      <c r="I334" s="29">
        <f>IF(ISBLANK(#REF!),"",E334*D334)</f>
        <v>670</v>
      </c>
    </row>
    <row r="335" spans="1:9" ht="25.5" x14ac:dyDescent="0.2">
      <c r="A335" s="40" t="s">
        <v>572</v>
      </c>
      <c r="B335" s="63" t="s">
        <v>75</v>
      </c>
      <c r="C335" s="37" t="s">
        <v>2108</v>
      </c>
      <c r="D335" s="38">
        <v>1</v>
      </c>
      <c r="E335" s="15">
        <v>425</v>
      </c>
      <c r="F335" s="12">
        <v>20</v>
      </c>
      <c r="G335" s="14">
        <f>F335+E335</f>
        <v>445</v>
      </c>
      <c r="H335" s="28">
        <f>IF(ISBLANK(#REF!),"",D335*G335)</f>
        <v>445</v>
      </c>
      <c r="I335" s="29">
        <f>IF(ISBLANK(#REF!),"",E335*D335)</f>
        <v>425</v>
      </c>
    </row>
    <row r="336" spans="1:9" ht="25.5" x14ac:dyDescent="0.2">
      <c r="A336" s="42" t="s">
        <v>575</v>
      </c>
      <c r="B336" s="63" t="s">
        <v>573</v>
      </c>
      <c r="C336" s="37" t="s">
        <v>2108</v>
      </c>
      <c r="D336" s="38">
        <v>1</v>
      </c>
      <c r="E336" s="15">
        <v>0</v>
      </c>
      <c r="F336" s="12">
        <v>20</v>
      </c>
      <c r="G336" s="14">
        <f>F336+E336</f>
        <v>20</v>
      </c>
      <c r="H336" s="28">
        <f>IF(ISBLANK(#REF!),"",D336*G336)</f>
        <v>20</v>
      </c>
      <c r="I336" s="29">
        <f>IF(ISBLANK(#REF!),"",E336*D336)</f>
        <v>0</v>
      </c>
    </row>
    <row r="337" spans="1:9" ht="25.5" hidden="1" x14ac:dyDescent="0.2">
      <c r="A337" s="41" t="s">
        <v>1387</v>
      </c>
      <c r="B337" s="57" t="s">
        <v>1388</v>
      </c>
      <c r="C337" s="37" t="s">
        <v>2187</v>
      </c>
      <c r="D337" s="38"/>
      <c r="E337" s="11"/>
      <c r="F337" s="12"/>
      <c r="G337" s="14"/>
      <c r="H337" s="28"/>
      <c r="I337" s="29"/>
    </row>
    <row r="338" spans="1:9" ht="25.5" x14ac:dyDescent="0.2">
      <c r="A338" s="42" t="s">
        <v>1389</v>
      </c>
      <c r="B338" s="63" t="s">
        <v>1390</v>
      </c>
      <c r="C338" s="37" t="s">
        <v>2108</v>
      </c>
      <c r="D338" s="38">
        <v>1</v>
      </c>
      <c r="E338" s="15">
        <v>0</v>
      </c>
      <c r="F338" s="12">
        <v>0</v>
      </c>
      <c r="G338" s="14">
        <f t="shared" ref="G338:G343" si="7">F338+E338</f>
        <v>0</v>
      </c>
      <c r="H338" s="28">
        <f>IF(ISBLANK(#REF!),"",D338*G338)</f>
        <v>0</v>
      </c>
      <c r="I338" s="29">
        <f>IF(ISBLANK(#REF!),"",E338*D338)</f>
        <v>0</v>
      </c>
    </row>
    <row r="339" spans="1:9" x14ac:dyDescent="0.2">
      <c r="A339" s="42" t="s">
        <v>1392</v>
      </c>
      <c r="B339" s="63" t="s">
        <v>1393</v>
      </c>
      <c r="C339" s="37" t="s">
        <v>2108</v>
      </c>
      <c r="D339" s="38">
        <v>1</v>
      </c>
      <c r="E339" s="15">
        <v>0</v>
      </c>
      <c r="F339" s="12">
        <v>0</v>
      </c>
      <c r="G339" s="14">
        <f t="shared" si="7"/>
        <v>0</v>
      </c>
      <c r="H339" s="28">
        <f>IF(ISBLANK(#REF!),"",D339*G339)</f>
        <v>0</v>
      </c>
      <c r="I339" s="29">
        <f>IF(ISBLANK(#REF!),"",E339*D339)</f>
        <v>0</v>
      </c>
    </row>
    <row r="340" spans="1:9" ht="25.5" x14ac:dyDescent="0.2">
      <c r="A340" s="42" t="s">
        <v>1395</v>
      </c>
      <c r="B340" s="63" t="s">
        <v>1396</v>
      </c>
      <c r="C340" s="37" t="s">
        <v>2108</v>
      </c>
      <c r="D340" s="38">
        <v>1</v>
      </c>
      <c r="E340" s="15">
        <v>0</v>
      </c>
      <c r="F340" s="12">
        <v>0</v>
      </c>
      <c r="G340" s="14">
        <f t="shared" si="7"/>
        <v>0</v>
      </c>
      <c r="H340" s="28">
        <f>IF(ISBLANK(#REF!),"",D340*G340)</f>
        <v>0</v>
      </c>
      <c r="I340" s="29">
        <f>IF(ISBLANK(#REF!),"",E340*D340)</f>
        <v>0</v>
      </c>
    </row>
    <row r="341" spans="1:9" ht="25.5" x14ac:dyDescent="0.2">
      <c r="A341" s="42" t="s">
        <v>1401</v>
      </c>
      <c r="B341" s="63" t="s">
        <v>76</v>
      </c>
      <c r="C341" s="37" t="s">
        <v>2108</v>
      </c>
      <c r="D341" s="38">
        <v>1</v>
      </c>
      <c r="E341" s="15">
        <v>189</v>
      </c>
      <c r="F341" s="12">
        <v>30</v>
      </c>
      <c r="G341" s="14">
        <f t="shared" si="7"/>
        <v>219</v>
      </c>
      <c r="H341" s="28">
        <f>IF(ISBLANK(#REF!),"",D341*G341)</f>
        <v>219</v>
      </c>
      <c r="I341" s="29">
        <f>IF(ISBLANK(#REF!),"",E341*D341)</f>
        <v>189</v>
      </c>
    </row>
    <row r="342" spans="1:9" ht="25.5" hidden="1" x14ac:dyDescent="0.2">
      <c r="A342" s="42" t="s">
        <v>1404</v>
      </c>
      <c r="B342" s="58" t="s">
        <v>77</v>
      </c>
      <c r="C342" s="37" t="s">
        <v>2108</v>
      </c>
      <c r="D342" s="38">
        <v>1</v>
      </c>
      <c r="E342" s="15">
        <v>98</v>
      </c>
      <c r="F342" s="12">
        <v>15</v>
      </c>
      <c r="G342" s="14">
        <f t="shared" si="7"/>
        <v>113</v>
      </c>
      <c r="H342" s="28"/>
      <c r="I342" s="29"/>
    </row>
    <row r="343" spans="1:9" ht="38.25" x14ac:dyDescent="0.2">
      <c r="A343" s="40" t="s">
        <v>117</v>
      </c>
      <c r="B343" s="63" t="s">
        <v>1405</v>
      </c>
      <c r="C343" s="37" t="s">
        <v>2108</v>
      </c>
      <c r="D343" s="38">
        <v>1</v>
      </c>
      <c r="E343" s="15">
        <v>0</v>
      </c>
      <c r="F343" s="12">
        <v>0</v>
      </c>
      <c r="G343" s="14">
        <f t="shared" si="7"/>
        <v>0</v>
      </c>
      <c r="H343" s="28">
        <f>IF(ISBLANK(#REF!),"",D343*G343)</f>
        <v>0</v>
      </c>
      <c r="I343" s="29">
        <f>IF(ISBLANK(#REF!),"",E343*D343)</f>
        <v>0</v>
      </c>
    </row>
    <row r="344" spans="1:9" ht="25.5" hidden="1" x14ac:dyDescent="0.2">
      <c r="A344" s="41" t="s">
        <v>1032</v>
      </c>
      <c r="B344" s="57" t="s">
        <v>1033</v>
      </c>
      <c r="C344" s="37" t="s">
        <v>2187</v>
      </c>
      <c r="D344" s="38"/>
      <c r="E344" s="11"/>
      <c r="F344" s="12"/>
      <c r="G344" s="14"/>
      <c r="H344" s="28"/>
      <c r="I344" s="29"/>
    </row>
    <row r="345" spans="1:9" x14ac:dyDescent="0.2">
      <c r="A345" s="40" t="s">
        <v>1037</v>
      </c>
      <c r="B345" s="63" t="s">
        <v>78</v>
      </c>
      <c r="C345" s="37" t="s">
        <v>2108</v>
      </c>
      <c r="D345" s="38">
        <v>1</v>
      </c>
      <c r="E345" s="15">
        <v>480</v>
      </c>
      <c r="F345" s="12">
        <v>70</v>
      </c>
      <c r="G345" s="14">
        <f t="shared" ref="G345:G350" si="8">F345+E345</f>
        <v>550</v>
      </c>
      <c r="H345" s="28">
        <f>IF(ISBLANK(#REF!),"",D345*G345)</f>
        <v>550</v>
      </c>
      <c r="I345" s="29">
        <f>IF(ISBLANK(#REF!),"",E345*D345)</f>
        <v>480</v>
      </c>
    </row>
    <row r="346" spans="1:9" ht="25.5" x14ac:dyDescent="0.2">
      <c r="A346" s="40" t="s">
        <v>1040</v>
      </c>
      <c r="B346" s="63" t="s">
        <v>1041</v>
      </c>
      <c r="C346" s="37" t="s">
        <v>2108</v>
      </c>
      <c r="D346" s="38">
        <v>1</v>
      </c>
      <c r="E346" s="15">
        <v>502</v>
      </c>
      <c r="F346" s="12">
        <v>60</v>
      </c>
      <c r="G346" s="14">
        <f t="shared" si="8"/>
        <v>562</v>
      </c>
      <c r="H346" s="28">
        <f>IF(ISBLANK(#REF!),"",D346*G346)</f>
        <v>562</v>
      </c>
      <c r="I346" s="29">
        <f>IF(ISBLANK(#REF!),"",E346*D346)</f>
        <v>502</v>
      </c>
    </row>
    <row r="347" spans="1:9" x14ac:dyDescent="0.2">
      <c r="A347" s="42" t="s">
        <v>199</v>
      </c>
      <c r="B347" s="63" t="s">
        <v>200</v>
      </c>
      <c r="C347" s="37" t="s">
        <v>2108</v>
      </c>
      <c r="D347" s="38">
        <v>1</v>
      </c>
      <c r="E347" s="15">
        <v>254</v>
      </c>
      <c r="F347" s="12">
        <v>60</v>
      </c>
      <c r="G347" s="14">
        <f t="shared" si="8"/>
        <v>314</v>
      </c>
      <c r="H347" s="28">
        <f>IF(ISBLANK(#REF!),"",D347*G347)</f>
        <v>314</v>
      </c>
      <c r="I347" s="29">
        <f>IF(ISBLANK(#REF!),"",E347*D347)</f>
        <v>254</v>
      </c>
    </row>
    <row r="348" spans="1:9" x14ac:dyDescent="0.2">
      <c r="A348" s="42" t="s">
        <v>202</v>
      </c>
      <c r="B348" s="63" t="s">
        <v>203</v>
      </c>
      <c r="C348" s="37" t="s">
        <v>2108</v>
      </c>
      <c r="D348" s="38">
        <v>1</v>
      </c>
      <c r="E348" s="15">
        <v>320</v>
      </c>
      <c r="F348" s="12">
        <v>45</v>
      </c>
      <c r="G348" s="14">
        <f t="shared" si="8"/>
        <v>365</v>
      </c>
      <c r="H348" s="28">
        <f>IF(ISBLANK(#REF!),"",D348*G348)</f>
        <v>365</v>
      </c>
      <c r="I348" s="29">
        <f>IF(ISBLANK(#REF!),"",E348*D348)</f>
        <v>320</v>
      </c>
    </row>
    <row r="349" spans="1:9" ht="25.5" hidden="1" x14ac:dyDescent="0.2">
      <c r="A349" s="40" t="s">
        <v>206</v>
      </c>
      <c r="B349" s="58" t="s">
        <v>79</v>
      </c>
      <c r="C349" s="37" t="s">
        <v>2108</v>
      </c>
      <c r="D349" s="38">
        <v>1</v>
      </c>
      <c r="E349" s="15">
        <v>535</v>
      </c>
      <c r="F349" s="12">
        <v>80</v>
      </c>
      <c r="G349" s="14">
        <f t="shared" si="8"/>
        <v>615</v>
      </c>
      <c r="H349" s="28"/>
      <c r="I349" s="29"/>
    </row>
    <row r="350" spans="1:9" x14ac:dyDescent="0.2">
      <c r="A350" s="40" t="s">
        <v>206</v>
      </c>
      <c r="B350" s="63" t="s">
        <v>636</v>
      </c>
      <c r="C350" s="37" t="s">
        <v>2108</v>
      </c>
      <c r="D350" s="38">
        <v>1</v>
      </c>
      <c r="E350" s="15">
        <v>800</v>
      </c>
      <c r="F350" s="12">
        <v>80</v>
      </c>
      <c r="G350" s="14">
        <f t="shared" si="8"/>
        <v>880</v>
      </c>
      <c r="H350" s="28">
        <f>IF(ISBLANK(#REF!),"",D350*G350)</f>
        <v>880</v>
      </c>
      <c r="I350" s="29">
        <f>IF(ISBLANK(#REF!),"",E350*D350)</f>
        <v>800</v>
      </c>
    </row>
    <row r="351" spans="1:9" hidden="1" x14ac:dyDescent="0.2">
      <c r="A351" s="41" t="s">
        <v>638</v>
      </c>
      <c r="B351" s="57" t="s">
        <v>639</v>
      </c>
      <c r="C351" s="37" t="s">
        <v>2187</v>
      </c>
      <c r="D351" s="38"/>
      <c r="E351" s="11"/>
      <c r="F351" s="12"/>
      <c r="G351" s="14"/>
      <c r="H351" s="28"/>
      <c r="I351" s="29"/>
    </row>
    <row r="352" spans="1:9" ht="25.5" x14ac:dyDescent="0.2">
      <c r="A352" s="42" t="s">
        <v>640</v>
      </c>
      <c r="B352" s="63" t="s">
        <v>218</v>
      </c>
      <c r="C352" s="37" t="s">
        <v>2108</v>
      </c>
      <c r="D352" s="38">
        <v>1</v>
      </c>
      <c r="E352" s="15">
        <v>0</v>
      </c>
      <c r="F352" s="12">
        <v>0</v>
      </c>
      <c r="G352" s="14">
        <f>F352+E352</f>
        <v>0</v>
      </c>
      <c r="H352" s="28">
        <f>IF(ISBLANK(#REF!),"",D352*G352)</f>
        <v>0</v>
      </c>
      <c r="I352" s="29">
        <f>IF(ISBLANK(#REF!),"",E352*D352)</f>
        <v>0</v>
      </c>
    </row>
    <row r="353" spans="1:9" ht="25.5" x14ac:dyDescent="0.2">
      <c r="A353" s="42" t="s">
        <v>1076</v>
      </c>
      <c r="B353" s="63" t="s">
        <v>1077</v>
      </c>
      <c r="C353" s="37" t="s">
        <v>2108</v>
      </c>
      <c r="D353" s="38">
        <v>1</v>
      </c>
      <c r="E353" s="15">
        <v>0</v>
      </c>
      <c r="F353" s="12">
        <v>0</v>
      </c>
      <c r="G353" s="14">
        <f>F353+E353</f>
        <v>0</v>
      </c>
      <c r="H353" s="28">
        <f>IF(ISBLANK(#REF!),"",D353*G353)</f>
        <v>0</v>
      </c>
      <c r="I353" s="29">
        <f>IF(ISBLANK(#REF!),"",E353*D353)</f>
        <v>0</v>
      </c>
    </row>
    <row r="354" spans="1:9" hidden="1" x14ac:dyDescent="0.2">
      <c r="A354" s="39" t="s">
        <v>684</v>
      </c>
      <c r="B354" s="57" t="s">
        <v>685</v>
      </c>
      <c r="C354" s="37" t="s">
        <v>2187</v>
      </c>
      <c r="D354" s="38"/>
      <c r="E354" s="11"/>
      <c r="F354" s="12"/>
      <c r="G354" s="14"/>
      <c r="H354" s="28"/>
      <c r="I354" s="29"/>
    </row>
    <row r="355" spans="1:9" hidden="1" x14ac:dyDescent="0.2">
      <c r="A355" s="41" t="s">
        <v>686</v>
      </c>
      <c r="B355" s="57" t="s">
        <v>687</v>
      </c>
      <c r="C355" s="37" t="s">
        <v>2187</v>
      </c>
      <c r="D355" s="38"/>
      <c r="E355" s="11"/>
      <c r="F355" s="12"/>
      <c r="G355" s="14"/>
      <c r="H355" s="28"/>
      <c r="I355" s="29"/>
    </row>
    <row r="356" spans="1:9" x14ac:dyDescent="0.2">
      <c r="A356" s="42" t="s">
        <v>688</v>
      </c>
      <c r="B356" s="63" t="s">
        <v>80</v>
      </c>
      <c r="C356" s="37" t="s">
        <v>2108</v>
      </c>
      <c r="D356" s="38">
        <v>1</v>
      </c>
      <c r="E356" s="15">
        <v>820</v>
      </c>
      <c r="F356" s="12">
        <v>60</v>
      </c>
      <c r="G356" s="14">
        <f t="shared" ref="G356:G363" si="9">F356+E356</f>
        <v>880</v>
      </c>
      <c r="H356" s="28">
        <f>IF(ISBLANK(#REF!),"",D356*G356)</f>
        <v>880</v>
      </c>
      <c r="I356" s="29">
        <f>IF(ISBLANK(#REF!),"",E356*D356)</f>
        <v>820</v>
      </c>
    </row>
    <row r="357" spans="1:9" hidden="1" x14ac:dyDescent="0.2">
      <c r="A357" s="42" t="s">
        <v>1093</v>
      </c>
      <c r="B357" s="58" t="s">
        <v>81</v>
      </c>
      <c r="C357" s="37" t="s">
        <v>2108</v>
      </c>
      <c r="D357" s="38">
        <v>1</v>
      </c>
      <c r="E357" s="15">
        <v>1800</v>
      </c>
      <c r="F357" s="12">
        <v>120</v>
      </c>
      <c r="G357" s="14">
        <f t="shared" si="9"/>
        <v>1920</v>
      </c>
      <c r="H357" s="28"/>
      <c r="I357" s="29"/>
    </row>
    <row r="358" spans="1:9" x14ac:dyDescent="0.2">
      <c r="A358" s="42" t="s">
        <v>1096</v>
      </c>
      <c r="B358" s="63" t="s">
        <v>1094</v>
      </c>
      <c r="C358" s="37" t="s">
        <v>2108</v>
      </c>
      <c r="D358" s="38">
        <v>1</v>
      </c>
      <c r="E358" s="15">
        <v>0</v>
      </c>
      <c r="F358" s="12">
        <v>0</v>
      </c>
      <c r="G358" s="14">
        <f t="shared" si="9"/>
        <v>0</v>
      </c>
      <c r="H358" s="28">
        <f>IF(ISBLANK(#REF!),"",D358*G358)</f>
        <v>0</v>
      </c>
      <c r="I358" s="29">
        <f>IF(ISBLANK(#REF!),"",E358*D358)</f>
        <v>0</v>
      </c>
    </row>
    <row r="359" spans="1:9" x14ac:dyDescent="0.2">
      <c r="A359" s="42" t="s">
        <v>1470</v>
      </c>
      <c r="B359" s="63" t="s">
        <v>1471</v>
      </c>
      <c r="C359" s="37" t="s">
        <v>2108</v>
      </c>
      <c r="D359" s="38">
        <v>1</v>
      </c>
      <c r="E359" s="15">
        <v>1300</v>
      </c>
      <c r="F359" s="12">
        <v>100</v>
      </c>
      <c r="G359" s="14">
        <f t="shared" si="9"/>
        <v>1400</v>
      </c>
      <c r="H359" s="28">
        <f>IF(ISBLANK(#REF!),"",D359*G359)</f>
        <v>1400</v>
      </c>
      <c r="I359" s="29">
        <f>IF(ISBLANK(#REF!),"",E359*D359)</f>
        <v>1300</v>
      </c>
    </row>
    <row r="360" spans="1:9" ht="25.5" x14ac:dyDescent="0.2">
      <c r="A360" s="40" t="s">
        <v>1473</v>
      </c>
      <c r="B360" s="63" t="s">
        <v>1474</v>
      </c>
      <c r="C360" s="37" t="s">
        <v>2108</v>
      </c>
      <c r="D360" s="38">
        <v>1</v>
      </c>
      <c r="E360" s="15">
        <v>1500</v>
      </c>
      <c r="F360" s="12">
        <v>200</v>
      </c>
      <c r="G360" s="14">
        <f t="shared" si="9"/>
        <v>1700</v>
      </c>
      <c r="H360" s="28">
        <f>IF(ISBLANK(#REF!),"",D360*G360)</f>
        <v>1700</v>
      </c>
      <c r="I360" s="29">
        <f>IF(ISBLANK(#REF!),"",E360*D360)</f>
        <v>1500</v>
      </c>
    </row>
    <row r="361" spans="1:9" ht="25.5" x14ac:dyDescent="0.2">
      <c r="A361" s="42" t="s">
        <v>1144</v>
      </c>
      <c r="B361" s="63" t="s">
        <v>82</v>
      </c>
      <c r="C361" s="37" t="s">
        <v>2108</v>
      </c>
      <c r="D361" s="38">
        <v>1</v>
      </c>
      <c r="E361" s="15">
        <v>1640</v>
      </c>
      <c r="F361" s="12">
        <v>60</v>
      </c>
      <c r="G361" s="14">
        <f t="shared" si="9"/>
        <v>1700</v>
      </c>
      <c r="H361" s="28">
        <f>IF(ISBLANK(#REF!),"",D361*G361)</f>
        <v>1700</v>
      </c>
      <c r="I361" s="29">
        <f>IF(ISBLANK(#REF!),"",E361*D361)</f>
        <v>1640</v>
      </c>
    </row>
    <row r="362" spans="1:9" ht="25.5" x14ac:dyDescent="0.2">
      <c r="A362" s="42" t="s">
        <v>1147</v>
      </c>
      <c r="B362" s="63" t="s">
        <v>83</v>
      </c>
      <c r="C362" s="37" t="s">
        <v>2108</v>
      </c>
      <c r="D362" s="38">
        <v>1</v>
      </c>
      <c r="E362" s="15">
        <v>3200</v>
      </c>
      <c r="F362" s="12">
        <v>60</v>
      </c>
      <c r="G362" s="14">
        <f t="shared" si="9"/>
        <v>3260</v>
      </c>
      <c r="H362" s="28">
        <f>IF(ISBLANK(#REF!),"",D362*G362)</f>
        <v>3260</v>
      </c>
      <c r="I362" s="29">
        <f>IF(ISBLANK(#REF!),"",E362*D362)</f>
        <v>3200</v>
      </c>
    </row>
    <row r="363" spans="1:9" x14ac:dyDescent="0.2">
      <c r="A363" s="42" t="s">
        <v>1150</v>
      </c>
      <c r="B363" s="63" t="s">
        <v>1151</v>
      </c>
      <c r="C363" s="37" t="s">
        <v>2108</v>
      </c>
      <c r="D363" s="38">
        <v>1</v>
      </c>
      <c r="E363" s="15">
        <v>0</v>
      </c>
      <c r="F363" s="12">
        <v>0</v>
      </c>
      <c r="G363" s="14">
        <f t="shared" si="9"/>
        <v>0</v>
      </c>
      <c r="H363" s="28">
        <f>IF(ISBLANK(#REF!),"",D363*G363)</f>
        <v>0</v>
      </c>
      <c r="I363" s="29">
        <f>IF(ISBLANK(#REF!),"",E363*D363)</f>
        <v>0</v>
      </c>
    </row>
    <row r="364" spans="1:9" x14ac:dyDescent="0.2">
      <c r="A364" s="61" t="s">
        <v>774</v>
      </c>
      <c r="B364" s="64" t="s">
        <v>775</v>
      </c>
      <c r="C364" s="36" t="s">
        <v>2187</v>
      </c>
      <c r="D364" s="38">
        <v>1</v>
      </c>
      <c r="E364" s="15">
        <v>0</v>
      </c>
      <c r="F364" s="12">
        <v>0</v>
      </c>
      <c r="G364" s="14"/>
      <c r="H364" s="28">
        <f>IF(ISBLANK(#REF!),"",D364*G364)</f>
        <v>0</v>
      </c>
      <c r="I364" s="29">
        <f>IF(ISBLANK(#REF!),"",E364*D364)</f>
        <v>0</v>
      </c>
    </row>
    <row r="365" spans="1:9" ht="25.5" x14ac:dyDescent="0.2">
      <c r="A365" s="40" t="s">
        <v>776</v>
      </c>
      <c r="B365" s="63" t="s">
        <v>84</v>
      </c>
      <c r="C365" s="37" t="s">
        <v>2108</v>
      </c>
      <c r="D365" s="38">
        <v>1</v>
      </c>
      <c r="E365" s="15">
        <v>8200</v>
      </c>
      <c r="F365" s="12">
        <v>1520</v>
      </c>
      <c r="G365" s="14">
        <f>F365+E365</f>
        <v>9720</v>
      </c>
      <c r="H365" s="28">
        <f>IF(ISBLANK(#REF!),"",D365*G365)</f>
        <v>9720</v>
      </c>
      <c r="I365" s="29">
        <f>IF(ISBLANK(#REF!),"",E365*D365)</f>
        <v>8200</v>
      </c>
    </row>
    <row r="366" spans="1:9" ht="25.5" x14ac:dyDescent="0.2">
      <c r="A366" s="40" t="s">
        <v>779</v>
      </c>
      <c r="B366" s="63" t="s">
        <v>85</v>
      </c>
      <c r="C366" s="37" t="s">
        <v>2108</v>
      </c>
      <c r="D366" s="38">
        <v>1</v>
      </c>
      <c r="E366" s="15">
        <v>10200</v>
      </c>
      <c r="F366" s="12">
        <v>1800</v>
      </c>
      <c r="G366" s="14">
        <f>F366+E366</f>
        <v>12000</v>
      </c>
      <c r="H366" s="28">
        <f>IF(ISBLANK(#REF!),"",D366*G366)</f>
        <v>12000</v>
      </c>
      <c r="I366" s="29">
        <f>IF(ISBLANK(#REF!),"",E366*D366)</f>
        <v>10200</v>
      </c>
    </row>
    <row r="367" spans="1:9" ht="25.5" x14ac:dyDescent="0.2">
      <c r="A367" s="42" t="s">
        <v>782</v>
      </c>
      <c r="B367" s="63" t="s">
        <v>86</v>
      </c>
      <c r="C367" s="37" t="s">
        <v>2108</v>
      </c>
      <c r="D367" s="38">
        <v>1</v>
      </c>
      <c r="E367" s="15">
        <v>15300</v>
      </c>
      <c r="F367" s="12">
        <v>2000</v>
      </c>
      <c r="G367" s="14">
        <f>F367+E367</f>
        <v>17300</v>
      </c>
      <c r="H367" s="28">
        <f>IF(ISBLANK(#REF!),"",D367*G367)</f>
        <v>17300</v>
      </c>
      <c r="I367" s="29">
        <f>IF(ISBLANK(#REF!),"",E367*D367)</f>
        <v>15300</v>
      </c>
    </row>
    <row r="368" spans="1:9" x14ac:dyDescent="0.2">
      <c r="A368" s="40" t="s">
        <v>785</v>
      </c>
      <c r="B368" s="63" t="s">
        <v>786</v>
      </c>
      <c r="C368" s="37" t="s">
        <v>2108</v>
      </c>
      <c r="D368" s="38">
        <v>1</v>
      </c>
      <c r="E368" s="15">
        <v>15000</v>
      </c>
      <c r="F368" s="12">
        <v>2000</v>
      </c>
      <c r="G368" s="14">
        <f>F368+E368</f>
        <v>17000</v>
      </c>
      <c r="H368" s="28">
        <f>IF(ISBLANK(#REF!),"",D368*G368)</f>
        <v>17000</v>
      </c>
      <c r="I368" s="29">
        <f>IF(ISBLANK(#REF!),"",E368*D368)</f>
        <v>15000</v>
      </c>
    </row>
    <row r="369" spans="1:9" hidden="1" x14ac:dyDescent="0.2">
      <c r="A369" s="39" t="s">
        <v>797</v>
      </c>
      <c r="B369" s="57" t="s">
        <v>798</v>
      </c>
      <c r="C369" s="37" t="s">
        <v>2187</v>
      </c>
      <c r="D369" s="38"/>
      <c r="E369" s="11"/>
      <c r="F369" s="12"/>
      <c r="G369" s="14"/>
      <c r="H369" s="28"/>
      <c r="I369" s="29"/>
    </row>
    <row r="370" spans="1:9" hidden="1" x14ac:dyDescent="0.2">
      <c r="A370" s="41" t="s">
        <v>799</v>
      </c>
      <c r="B370" s="57" t="s">
        <v>800</v>
      </c>
      <c r="C370" s="37" t="s">
        <v>2187</v>
      </c>
      <c r="D370" s="38"/>
      <c r="E370" s="11"/>
      <c r="F370" s="12"/>
      <c r="G370" s="14"/>
      <c r="H370" s="28"/>
      <c r="I370" s="29"/>
    </row>
    <row r="371" spans="1:9" hidden="1" x14ac:dyDescent="0.2">
      <c r="A371" s="41" t="s">
        <v>386</v>
      </c>
      <c r="B371" s="57" t="s">
        <v>387</v>
      </c>
      <c r="C371" s="37" t="s">
        <v>2108</v>
      </c>
      <c r="D371" s="38"/>
      <c r="E371" s="11"/>
      <c r="F371" s="12"/>
      <c r="G371" s="14"/>
      <c r="H371" s="28"/>
      <c r="I371" s="29"/>
    </row>
    <row r="372" spans="1:9" x14ac:dyDescent="0.2">
      <c r="A372" s="42" t="s">
        <v>388</v>
      </c>
      <c r="B372" s="63" t="s">
        <v>389</v>
      </c>
      <c r="C372" s="37" t="s">
        <v>2108</v>
      </c>
      <c r="D372" s="38">
        <v>1</v>
      </c>
      <c r="E372" s="15">
        <v>0</v>
      </c>
      <c r="F372" s="12">
        <v>0</v>
      </c>
      <c r="G372" s="14">
        <f>F372+E372</f>
        <v>0</v>
      </c>
      <c r="H372" s="28">
        <f>IF(ISBLANK(#REF!),"",D372*G372)</f>
        <v>0</v>
      </c>
      <c r="I372" s="29">
        <f>IF(ISBLANK(#REF!),"",E372*D372)</f>
        <v>0</v>
      </c>
    </row>
    <row r="373" spans="1:9" x14ac:dyDescent="0.2">
      <c r="A373" s="42" t="s">
        <v>1200</v>
      </c>
      <c r="B373" s="63" t="s">
        <v>1201</v>
      </c>
      <c r="C373" s="37" t="s">
        <v>2108</v>
      </c>
      <c r="D373" s="38">
        <v>1</v>
      </c>
      <c r="E373" s="15">
        <v>0</v>
      </c>
      <c r="F373" s="12">
        <v>0</v>
      </c>
      <c r="G373" s="14">
        <f>F373+E373</f>
        <v>0</v>
      </c>
      <c r="H373" s="28">
        <f>IF(ISBLANK(#REF!),"",D373*G373)</f>
        <v>0</v>
      </c>
      <c r="I373" s="29">
        <f>IF(ISBLANK(#REF!),"",E373*D373)</f>
        <v>0</v>
      </c>
    </row>
    <row r="374" spans="1:9" x14ac:dyDescent="0.2">
      <c r="A374" s="42" t="s">
        <v>1203</v>
      </c>
      <c r="B374" s="63" t="s">
        <v>1204</v>
      </c>
      <c r="C374" s="37" t="s">
        <v>2108</v>
      </c>
      <c r="D374" s="38">
        <v>1</v>
      </c>
      <c r="E374" s="15">
        <v>0</v>
      </c>
      <c r="F374" s="12">
        <v>0</v>
      </c>
      <c r="G374" s="14">
        <f>F374+E374</f>
        <v>0</v>
      </c>
      <c r="H374" s="28">
        <f>IF(ISBLANK(#REF!),"",D374*G374)</f>
        <v>0</v>
      </c>
      <c r="I374" s="29">
        <f>IF(ISBLANK(#REF!),"",E374*D374)</f>
        <v>0</v>
      </c>
    </row>
    <row r="375" spans="1:9" x14ac:dyDescent="0.2">
      <c r="A375" s="42" t="s">
        <v>1206</v>
      </c>
      <c r="B375" s="63" t="s">
        <v>1207</v>
      </c>
      <c r="C375" s="37" t="s">
        <v>2108</v>
      </c>
      <c r="D375" s="38">
        <v>1</v>
      </c>
      <c r="E375" s="15">
        <v>0</v>
      </c>
      <c r="F375" s="12">
        <v>0</v>
      </c>
      <c r="G375" s="14">
        <f>F375+E375</f>
        <v>0</v>
      </c>
      <c r="H375" s="28">
        <f>IF(ISBLANK(#REF!),"",D375*G375)</f>
        <v>0</v>
      </c>
      <c r="I375" s="29">
        <f>IF(ISBLANK(#REF!),"",E375*D375)</f>
        <v>0</v>
      </c>
    </row>
    <row r="376" spans="1:9" hidden="1" x14ac:dyDescent="0.2">
      <c r="A376" s="35" t="s">
        <v>1222</v>
      </c>
      <c r="B376" s="57" t="s">
        <v>1223</v>
      </c>
      <c r="C376" s="37" t="s">
        <v>2187</v>
      </c>
      <c r="D376" s="38"/>
      <c r="E376" s="11"/>
      <c r="F376" s="12"/>
      <c r="G376" s="14"/>
      <c r="H376" s="28"/>
      <c r="I376" s="29"/>
    </row>
    <row r="377" spans="1:9" hidden="1" x14ac:dyDescent="0.2">
      <c r="A377" s="39" t="s">
        <v>1224</v>
      </c>
      <c r="B377" s="57" t="s">
        <v>1225</v>
      </c>
      <c r="C377" s="37" t="s">
        <v>2187</v>
      </c>
      <c r="D377" s="38"/>
      <c r="E377" s="11"/>
      <c r="F377" s="12"/>
      <c r="G377" s="14"/>
      <c r="H377" s="28"/>
      <c r="I377" s="29"/>
    </row>
    <row r="378" spans="1:9" hidden="1" x14ac:dyDescent="0.2">
      <c r="A378" s="41" t="s">
        <v>1226</v>
      </c>
      <c r="B378" s="57" t="s">
        <v>1227</v>
      </c>
      <c r="C378" s="37" t="s">
        <v>2187</v>
      </c>
      <c r="D378" s="38"/>
      <c r="E378" s="11"/>
      <c r="F378" s="12"/>
      <c r="G378" s="14"/>
      <c r="H378" s="28"/>
      <c r="I378" s="29"/>
    </row>
    <row r="379" spans="1:9" x14ac:dyDescent="0.2">
      <c r="A379" s="40" t="s">
        <v>1228</v>
      </c>
      <c r="B379" s="63" t="s">
        <v>523</v>
      </c>
      <c r="C379" s="37" t="s">
        <v>2149</v>
      </c>
      <c r="D379" s="38">
        <v>1</v>
      </c>
      <c r="E379" s="15">
        <v>0</v>
      </c>
      <c r="F379" s="12"/>
      <c r="G379" s="14">
        <f>F379+E379</f>
        <v>0</v>
      </c>
      <c r="H379" s="28">
        <f>IF(ISBLANK(#REF!),"",D379*G379)</f>
        <v>0</v>
      </c>
      <c r="I379" s="29">
        <f>IF(ISBLANK(#REF!),"",E379*D379)</f>
        <v>0</v>
      </c>
    </row>
    <row r="380" spans="1:9" x14ac:dyDescent="0.2">
      <c r="A380" s="40" t="s">
        <v>525</v>
      </c>
      <c r="B380" s="63" t="s">
        <v>526</v>
      </c>
      <c r="C380" s="37" t="s">
        <v>2149</v>
      </c>
      <c r="D380" s="38">
        <v>1</v>
      </c>
      <c r="E380" s="15">
        <v>0</v>
      </c>
      <c r="F380" s="12"/>
      <c r="G380" s="14">
        <f>F380+E380</f>
        <v>0</v>
      </c>
      <c r="H380" s="28">
        <f>IF(ISBLANK(#REF!),"",D380*G380)</f>
        <v>0</v>
      </c>
      <c r="I380" s="29">
        <f>IF(ISBLANK(#REF!),"",E380*D380)</f>
        <v>0</v>
      </c>
    </row>
    <row r="381" spans="1:9" hidden="1" x14ac:dyDescent="0.2">
      <c r="A381" s="41" t="s">
        <v>528</v>
      </c>
      <c r="B381" s="57" t="s">
        <v>529</v>
      </c>
      <c r="C381" s="37" t="s">
        <v>2187</v>
      </c>
      <c r="D381" s="38"/>
      <c r="E381" s="11"/>
      <c r="F381" s="12"/>
      <c r="G381" s="14"/>
      <c r="H381" s="28"/>
      <c r="I381" s="29"/>
    </row>
    <row r="382" spans="1:9" ht="25.5" x14ac:dyDescent="0.2">
      <c r="A382" s="42" t="s">
        <v>530</v>
      </c>
      <c r="B382" s="63" t="s">
        <v>531</v>
      </c>
      <c r="C382" s="37" t="s">
        <v>2149</v>
      </c>
      <c r="D382" s="38">
        <v>1</v>
      </c>
      <c r="E382" s="15">
        <v>0</v>
      </c>
      <c r="F382" s="12"/>
      <c r="G382" s="14">
        <f>F382+E382</f>
        <v>0</v>
      </c>
      <c r="H382" s="28">
        <f>IF(ISBLANK(#REF!),"",D382*G382)</f>
        <v>0</v>
      </c>
      <c r="I382" s="29">
        <f>IF(ISBLANK(#REF!),"",E382*D382)</f>
        <v>0</v>
      </c>
    </row>
    <row r="383" spans="1:9" hidden="1" x14ac:dyDescent="0.2">
      <c r="A383" s="39" t="s">
        <v>34</v>
      </c>
      <c r="B383" s="57" t="s">
        <v>35</v>
      </c>
      <c r="C383" s="37" t="s">
        <v>2187</v>
      </c>
      <c r="D383" s="38"/>
      <c r="E383" s="11"/>
      <c r="F383" s="12"/>
      <c r="G383" s="14"/>
      <c r="H383" s="28"/>
      <c r="I383" s="29"/>
    </row>
    <row r="384" spans="1:9" ht="38.25" hidden="1" x14ac:dyDescent="0.2">
      <c r="A384" s="41" t="s">
        <v>36</v>
      </c>
      <c r="B384" s="57" t="s">
        <v>37</v>
      </c>
      <c r="C384" s="37" t="s">
        <v>2187</v>
      </c>
      <c r="D384" s="38"/>
      <c r="E384" s="11"/>
      <c r="F384" s="12"/>
      <c r="G384" s="14"/>
      <c r="H384" s="28"/>
      <c r="I384" s="29"/>
    </row>
    <row r="385" spans="1:9" ht="25.5" x14ac:dyDescent="0.2">
      <c r="A385" s="40" t="s">
        <v>38</v>
      </c>
      <c r="B385" s="63" t="s">
        <v>39</v>
      </c>
      <c r="C385" s="37" t="s">
        <v>2149</v>
      </c>
      <c r="D385" s="38">
        <v>1</v>
      </c>
      <c r="E385" s="15">
        <v>0</v>
      </c>
      <c r="F385" s="12"/>
      <c r="G385" s="14">
        <f>F385+E385</f>
        <v>0</v>
      </c>
      <c r="H385" s="28">
        <f>IF(ISBLANK(#REF!),"",D385*G385)</f>
        <v>0</v>
      </c>
      <c r="I385" s="29">
        <f>IF(ISBLANK(#REF!),"",E385*D385)</f>
        <v>0</v>
      </c>
    </row>
    <row r="386" spans="1:9" hidden="1" x14ac:dyDescent="0.2">
      <c r="A386" s="35" t="s">
        <v>872</v>
      </c>
      <c r="B386" s="57" t="s">
        <v>873</v>
      </c>
      <c r="C386" s="37" t="s">
        <v>2187</v>
      </c>
      <c r="D386" s="38"/>
      <c r="E386" s="11"/>
      <c r="F386" s="12"/>
      <c r="G386" s="14"/>
      <c r="H386" s="28"/>
      <c r="I386" s="29"/>
    </row>
    <row r="387" spans="1:9" hidden="1" x14ac:dyDescent="0.2">
      <c r="A387" s="39" t="s">
        <v>874</v>
      </c>
      <c r="B387" s="57" t="s">
        <v>875</v>
      </c>
      <c r="C387" s="37" t="s">
        <v>2187</v>
      </c>
      <c r="D387" s="38"/>
      <c r="E387" s="11"/>
      <c r="F387" s="12"/>
      <c r="G387" s="14"/>
      <c r="H387" s="28"/>
      <c r="I387" s="29"/>
    </row>
    <row r="388" spans="1:9" ht="25.5" hidden="1" x14ac:dyDescent="0.2">
      <c r="A388" s="41" t="s">
        <v>876</v>
      </c>
      <c r="B388" s="57" t="s">
        <v>877</v>
      </c>
      <c r="C388" s="37" t="s">
        <v>2187</v>
      </c>
      <c r="D388" s="38"/>
      <c r="E388" s="11"/>
      <c r="F388" s="12"/>
      <c r="G388" s="14"/>
      <c r="H388" s="28"/>
      <c r="I388" s="29"/>
    </row>
    <row r="389" spans="1:9" ht="25.5" x14ac:dyDescent="0.2">
      <c r="A389" s="40" t="s">
        <v>476</v>
      </c>
      <c r="B389" s="63" t="s">
        <v>477</v>
      </c>
      <c r="C389" s="37" t="s">
        <v>2108</v>
      </c>
      <c r="D389" s="38">
        <v>1</v>
      </c>
      <c r="E389" s="15">
        <v>0</v>
      </c>
      <c r="F389" s="12"/>
      <c r="G389" s="14">
        <f t="shared" ref="G389:G416" si="10">F389+E389</f>
        <v>0</v>
      </c>
      <c r="H389" s="28">
        <f>IF(ISBLANK(#REF!),"",D389*G389)</f>
        <v>0</v>
      </c>
      <c r="I389" s="29">
        <f>IF(ISBLANK(#REF!),"",E389*D389)</f>
        <v>0</v>
      </c>
    </row>
    <row r="390" spans="1:9" ht="25.5" x14ac:dyDescent="0.2">
      <c r="A390" s="40" t="s">
        <v>485</v>
      </c>
      <c r="B390" s="63" t="s">
        <v>486</v>
      </c>
      <c r="C390" s="37" t="s">
        <v>2108</v>
      </c>
      <c r="D390" s="38">
        <v>1</v>
      </c>
      <c r="E390" s="15">
        <v>17</v>
      </c>
      <c r="F390" s="12">
        <v>80</v>
      </c>
      <c r="G390" s="14">
        <f t="shared" si="10"/>
        <v>97</v>
      </c>
      <c r="H390" s="28">
        <f>IF(ISBLANK(#REF!),"",D390*G390)</f>
        <v>97</v>
      </c>
      <c r="I390" s="29">
        <f>IF(ISBLANK(#REF!),"",E390*D390)</f>
        <v>17</v>
      </c>
    </row>
    <row r="391" spans="1:9" ht="25.5" x14ac:dyDescent="0.2">
      <c r="A391" s="42" t="s">
        <v>1275</v>
      </c>
      <c r="B391" s="63" t="s">
        <v>1276</v>
      </c>
      <c r="C391" s="37" t="s">
        <v>2108</v>
      </c>
      <c r="D391" s="38">
        <v>1</v>
      </c>
      <c r="E391" s="15">
        <v>0</v>
      </c>
      <c r="F391" s="12"/>
      <c r="G391" s="14">
        <f t="shared" si="10"/>
        <v>0</v>
      </c>
      <c r="H391" s="28">
        <f>IF(ISBLANK(#REF!),"",D391*G391)</f>
        <v>0</v>
      </c>
      <c r="I391" s="29">
        <f>IF(ISBLANK(#REF!),"",E391*D391)</f>
        <v>0</v>
      </c>
    </row>
    <row r="392" spans="1:9" ht="25.5" x14ac:dyDescent="0.2">
      <c r="A392" s="40" t="s">
        <v>1281</v>
      </c>
      <c r="B392" s="63" t="s">
        <v>1282</v>
      </c>
      <c r="C392" s="37" t="s">
        <v>2108</v>
      </c>
      <c r="D392" s="38">
        <v>1</v>
      </c>
      <c r="E392" s="15">
        <v>42</v>
      </c>
      <c r="F392" s="12">
        <v>60</v>
      </c>
      <c r="G392" s="14">
        <f t="shared" si="10"/>
        <v>102</v>
      </c>
      <c r="H392" s="28">
        <f>IF(ISBLANK(#REF!),"",D392*G392)</f>
        <v>102</v>
      </c>
      <c r="I392" s="29">
        <f>IF(ISBLANK(#REF!),"",E392*D392)</f>
        <v>42</v>
      </c>
    </row>
    <row r="393" spans="1:9" ht="25.5" x14ac:dyDescent="0.2">
      <c r="A393" s="40" t="s">
        <v>1290</v>
      </c>
      <c r="B393" s="63" t="s">
        <v>1291</v>
      </c>
      <c r="C393" s="37" t="s">
        <v>2204</v>
      </c>
      <c r="D393" s="38">
        <v>1</v>
      </c>
      <c r="E393" s="15">
        <v>0</v>
      </c>
      <c r="F393" s="12"/>
      <c r="G393" s="14">
        <f t="shared" si="10"/>
        <v>0</v>
      </c>
      <c r="H393" s="28">
        <f>IF(ISBLANK(#REF!),"",D393*G393)</f>
        <v>0</v>
      </c>
      <c r="I393" s="29">
        <f>IF(ISBLANK(#REF!),"",E393*D393)</f>
        <v>0</v>
      </c>
    </row>
    <row r="394" spans="1:9" hidden="1" x14ac:dyDescent="0.2">
      <c r="A394" s="41" t="s">
        <v>1293</v>
      </c>
      <c r="B394" s="57" t="s">
        <v>1294</v>
      </c>
      <c r="C394" s="37" t="s">
        <v>2187</v>
      </c>
      <c r="D394" s="38"/>
      <c r="E394" s="11"/>
      <c r="F394" s="12"/>
      <c r="G394" s="14">
        <f t="shared" si="10"/>
        <v>0</v>
      </c>
      <c r="H394" s="28"/>
      <c r="I394" s="29"/>
    </row>
    <row r="395" spans="1:9" ht="25.5" x14ac:dyDescent="0.2">
      <c r="A395" s="40" t="s">
        <v>1295</v>
      </c>
      <c r="B395" s="63" t="s">
        <v>1296</v>
      </c>
      <c r="C395" s="37" t="s">
        <v>2149</v>
      </c>
      <c r="D395" s="38">
        <v>1</v>
      </c>
      <c r="E395" s="15">
        <v>0</v>
      </c>
      <c r="F395" s="12"/>
      <c r="G395" s="14">
        <f t="shared" si="10"/>
        <v>0</v>
      </c>
      <c r="H395" s="28">
        <f>IF(ISBLANK(#REF!),"",D395*G395)</f>
        <v>0</v>
      </c>
      <c r="I395" s="29">
        <f>IF(ISBLANK(#REF!),"",E395*D395)</f>
        <v>0</v>
      </c>
    </row>
    <row r="396" spans="1:9" ht="25.5" x14ac:dyDescent="0.2">
      <c r="A396" s="40" t="s">
        <v>924</v>
      </c>
      <c r="B396" s="63" t="s">
        <v>925</v>
      </c>
      <c r="C396" s="37" t="s">
        <v>2108</v>
      </c>
      <c r="D396" s="38">
        <v>1</v>
      </c>
      <c r="E396" s="15">
        <v>0</v>
      </c>
      <c r="F396" s="12"/>
      <c r="G396" s="14">
        <f t="shared" si="10"/>
        <v>0</v>
      </c>
      <c r="H396" s="28">
        <f>IF(ISBLANK(#REF!),"",D396*G396)</f>
        <v>0</v>
      </c>
      <c r="I396" s="29">
        <f>IF(ISBLANK(#REF!),"",E396*D396)</f>
        <v>0</v>
      </c>
    </row>
    <row r="397" spans="1:9" hidden="1" x14ac:dyDescent="0.2">
      <c r="A397" s="41" t="s">
        <v>927</v>
      </c>
      <c r="B397" s="57" t="s">
        <v>928</v>
      </c>
      <c r="C397" s="37" t="s">
        <v>2187</v>
      </c>
      <c r="D397" s="38"/>
      <c r="E397" s="11"/>
      <c r="F397" s="12"/>
      <c r="G397" s="14">
        <f t="shared" si="10"/>
        <v>0</v>
      </c>
      <c r="H397" s="28"/>
      <c r="I397" s="29"/>
    </row>
    <row r="398" spans="1:9" x14ac:dyDescent="0.2">
      <c r="A398" s="40" t="s">
        <v>929</v>
      </c>
      <c r="B398" s="63" t="s">
        <v>930</v>
      </c>
      <c r="C398" s="37" t="s">
        <v>2149</v>
      </c>
      <c r="D398" s="38">
        <v>1</v>
      </c>
      <c r="E398" s="15">
        <v>1</v>
      </c>
      <c r="F398" s="12">
        <v>6</v>
      </c>
      <c r="G398" s="14">
        <f t="shared" si="10"/>
        <v>7</v>
      </c>
      <c r="H398" s="28">
        <f>IF(ISBLANK(#REF!),"",D398*G398)</f>
        <v>7</v>
      </c>
      <c r="I398" s="29">
        <f>IF(ISBLANK(#REF!),"",E398*D398)</f>
        <v>1</v>
      </c>
    </row>
    <row r="399" spans="1:9" x14ac:dyDescent="0.2">
      <c r="A399" s="40" t="s">
        <v>935</v>
      </c>
      <c r="B399" s="63" t="s">
        <v>936</v>
      </c>
      <c r="C399" s="37" t="s">
        <v>2149</v>
      </c>
      <c r="D399" s="38">
        <v>1</v>
      </c>
      <c r="E399" s="15">
        <v>8</v>
      </c>
      <c r="F399" s="12">
        <v>10</v>
      </c>
      <c r="G399" s="14">
        <f t="shared" si="10"/>
        <v>18</v>
      </c>
      <c r="H399" s="28">
        <f>IF(ISBLANK(#REF!),"",D399*G399)</f>
        <v>18</v>
      </c>
      <c r="I399" s="29">
        <f>IF(ISBLANK(#REF!),"",E399*D399)</f>
        <v>8</v>
      </c>
    </row>
    <row r="400" spans="1:9" hidden="1" x14ac:dyDescent="0.2">
      <c r="A400" s="41" t="s">
        <v>946</v>
      </c>
      <c r="B400" s="57" t="s">
        <v>947</v>
      </c>
      <c r="C400" s="37" t="s">
        <v>2187</v>
      </c>
      <c r="D400" s="38"/>
      <c r="E400" s="11"/>
      <c r="F400" s="12"/>
      <c r="G400" s="14">
        <f t="shared" si="10"/>
        <v>0</v>
      </c>
      <c r="H400" s="28"/>
      <c r="I400" s="29"/>
    </row>
    <row r="401" spans="1:9" ht="25.5" x14ac:dyDescent="0.2">
      <c r="A401" s="40" t="s">
        <v>948</v>
      </c>
      <c r="B401" s="63" t="s">
        <v>949</v>
      </c>
      <c r="C401" s="37" t="s">
        <v>2108</v>
      </c>
      <c r="D401" s="38">
        <v>1</v>
      </c>
      <c r="E401" s="15">
        <v>0</v>
      </c>
      <c r="F401" s="12"/>
      <c r="G401" s="14">
        <f t="shared" si="10"/>
        <v>0</v>
      </c>
      <c r="H401" s="28">
        <f>IF(ISBLANK(#REF!),"",D401*G401)</f>
        <v>0</v>
      </c>
      <c r="I401" s="29">
        <f>IF(ISBLANK(#REF!),"",E401*D401)</f>
        <v>0</v>
      </c>
    </row>
    <row r="402" spans="1:9" x14ac:dyDescent="0.2">
      <c r="A402" s="40" t="s">
        <v>533</v>
      </c>
      <c r="B402" s="63" t="s">
        <v>534</v>
      </c>
      <c r="C402" s="37" t="s">
        <v>2108</v>
      </c>
      <c r="D402" s="38">
        <v>1</v>
      </c>
      <c r="E402" s="15">
        <v>0</v>
      </c>
      <c r="F402" s="12"/>
      <c r="G402" s="14">
        <f t="shared" si="10"/>
        <v>0</v>
      </c>
      <c r="H402" s="28">
        <f>IF(ISBLANK(#REF!),"",D402*G402)</f>
        <v>0</v>
      </c>
      <c r="I402" s="29">
        <f>IF(ISBLANK(#REF!),"",E402*D402)</f>
        <v>0</v>
      </c>
    </row>
    <row r="403" spans="1:9" ht="25.5" x14ac:dyDescent="0.2">
      <c r="A403" s="40" t="s">
        <v>539</v>
      </c>
      <c r="B403" s="63" t="s">
        <v>823</v>
      </c>
      <c r="C403" s="37" t="s">
        <v>2108</v>
      </c>
      <c r="D403" s="38">
        <v>1</v>
      </c>
      <c r="E403" s="15">
        <v>16</v>
      </c>
      <c r="F403" s="12">
        <v>5</v>
      </c>
      <c r="G403" s="14">
        <f t="shared" si="10"/>
        <v>21</v>
      </c>
      <c r="H403" s="28">
        <f>IF(ISBLANK(#REF!),"",D403*G403)</f>
        <v>21</v>
      </c>
      <c r="I403" s="29">
        <f>IF(ISBLANK(#REF!),"",E403*D403)</f>
        <v>16</v>
      </c>
    </row>
    <row r="404" spans="1:9" hidden="1" x14ac:dyDescent="0.2">
      <c r="A404" s="41" t="s">
        <v>542</v>
      </c>
      <c r="B404" s="57" t="s">
        <v>543</v>
      </c>
      <c r="C404" s="37" t="s">
        <v>2187</v>
      </c>
      <c r="D404" s="38"/>
      <c r="E404" s="11"/>
      <c r="F404" s="12"/>
      <c r="G404" s="14">
        <f t="shared" si="10"/>
        <v>0</v>
      </c>
      <c r="H404" s="28"/>
      <c r="I404" s="29"/>
    </row>
    <row r="405" spans="1:9" ht="25.5" x14ac:dyDescent="0.2">
      <c r="A405" s="40" t="s">
        <v>544</v>
      </c>
      <c r="B405" s="63" t="s">
        <v>545</v>
      </c>
      <c r="C405" s="37" t="s">
        <v>2108</v>
      </c>
      <c r="D405" s="38">
        <v>1</v>
      </c>
      <c r="E405" s="15">
        <v>0</v>
      </c>
      <c r="F405" s="12">
        <v>8</v>
      </c>
      <c r="G405" s="14">
        <f t="shared" si="10"/>
        <v>8</v>
      </c>
      <c r="H405" s="28">
        <f>IF(ISBLANK(#REF!),"",D405*G405)</f>
        <v>8</v>
      </c>
      <c r="I405" s="29">
        <f>IF(ISBLANK(#REF!),"",E405*D405)</f>
        <v>0</v>
      </c>
    </row>
    <row r="406" spans="1:9" ht="25.5" x14ac:dyDescent="0.2">
      <c r="A406" s="40" t="s">
        <v>547</v>
      </c>
      <c r="B406" s="63" t="s">
        <v>118</v>
      </c>
      <c r="C406" s="37" t="s">
        <v>2149</v>
      </c>
      <c r="D406" s="38">
        <v>1</v>
      </c>
      <c r="E406" s="15">
        <v>0</v>
      </c>
      <c r="F406" s="12"/>
      <c r="G406" s="14">
        <f t="shared" si="10"/>
        <v>0</v>
      </c>
      <c r="H406" s="28">
        <f>IF(ISBLANK(#REF!),"",D406*G406)</f>
        <v>0</v>
      </c>
      <c r="I406" s="29">
        <f>IF(ISBLANK(#REF!),"",E406*D406)</f>
        <v>0</v>
      </c>
    </row>
    <row r="407" spans="1:9" ht="25.5" x14ac:dyDescent="0.2">
      <c r="A407" s="40" t="s">
        <v>120</v>
      </c>
      <c r="B407" s="63" t="s">
        <v>121</v>
      </c>
      <c r="C407" s="37" t="s">
        <v>2149</v>
      </c>
      <c r="D407" s="38">
        <v>1</v>
      </c>
      <c r="E407" s="15">
        <v>0</v>
      </c>
      <c r="F407" s="12"/>
      <c r="G407" s="14">
        <f t="shared" si="10"/>
        <v>0</v>
      </c>
      <c r="H407" s="28">
        <f>IF(ISBLANK(#REF!),"",D407*G407)</f>
        <v>0</v>
      </c>
      <c r="I407" s="29">
        <f>IF(ISBLANK(#REF!),"",E407*D407)</f>
        <v>0</v>
      </c>
    </row>
    <row r="408" spans="1:9" hidden="1" x14ac:dyDescent="0.2">
      <c r="A408" s="39" t="s">
        <v>123</v>
      </c>
      <c r="B408" s="57" t="s">
        <v>124</v>
      </c>
      <c r="C408" s="37" t="s">
        <v>2187</v>
      </c>
      <c r="D408" s="38"/>
      <c r="E408" s="11"/>
      <c r="F408" s="12"/>
      <c r="G408" s="14">
        <f t="shared" si="10"/>
        <v>0</v>
      </c>
      <c r="H408" s="28"/>
      <c r="I408" s="29"/>
    </row>
    <row r="409" spans="1:9" hidden="1" x14ac:dyDescent="0.2">
      <c r="A409" s="41" t="s">
        <v>125</v>
      </c>
      <c r="B409" s="57" t="s">
        <v>126</v>
      </c>
      <c r="C409" s="37" t="s">
        <v>2187</v>
      </c>
      <c r="D409" s="38"/>
      <c r="E409" s="11"/>
      <c r="F409" s="12"/>
      <c r="G409" s="14">
        <f t="shared" si="10"/>
        <v>0</v>
      </c>
      <c r="H409" s="28"/>
      <c r="I409" s="29"/>
    </row>
    <row r="410" spans="1:9" x14ac:dyDescent="0.2">
      <c r="A410" s="42" t="s">
        <v>127</v>
      </c>
      <c r="B410" s="63" t="s">
        <v>128</v>
      </c>
      <c r="C410" s="37" t="s">
        <v>2108</v>
      </c>
      <c r="D410" s="38">
        <v>1</v>
      </c>
      <c r="E410" s="15">
        <v>0</v>
      </c>
      <c r="F410" s="12"/>
      <c r="G410" s="14">
        <f t="shared" si="10"/>
        <v>0</v>
      </c>
      <c r="H410" s="28">
        <f>IF(ISBLANK(#REF!),"",D410*G410)</f>
        <v>0</v>
      </c>
      <c r="I410" s="29">
        <f>IF(ISBLANK(#REF!),"",E410*D410)</f>
        <v>0</v>
      </c>
    </row>
    <row r="411" spans="1:9" x14ac:dyDescent="0.2">
      <c r="A411" s="42" t="s">
        <v>559</v>
      </c>
      <c r="B411" s="63" t="s">
        <v>560</v>
      </c>
      <c r="C411" s="37" t="s">
        <v>2108</v>
      </c>
      <c r="D411" s="38">
        <v>1</v>
      </c>
      <c r="E411" s="15">
        <v>0</v>
      </c>
      <c r="F411" s="12"/>
      <c r="G411" s="14">
        <f t="shared" si="10"/>
        <v>0</v>
      </c>
      <c r="H411" s="28">
        <f>IF(ISBLANK(#REF!),"",D411*G411)</f>
        <v>0</v>
      </c>
      <c r="I411" s="29">
        <f>IF(ISBLANK(#REF!),"",E411*D411)</f>
        <v>0</v>
      </c>
    </row>
    <row r="412" spans="1:9" hidden="1" x14ac:dyDescent="0.2">
      <c r="A412" s="39" t="s">
        <v>562</v>
      </c>
      <c r="B412" s="57" t="s">
        <v>563</v>
      </c>
      <c r="C412" s="37" t="s">
        <v>2187</v>
      </c>
      <c r="D412" s="38"/>
      <c r="E412" s="11"/>
      <c r="F412" s="12"/>
      <c r="G412" s="14">
        <f t="shared" si="10"/>
        <v>0</v>
      </c>
      <c r="H412" s="28"/>
      <c r="I412" s="29"/>
    </row>
    <row r="413" spans="1:9" ht="25.5" hidden="1" x14ac:dyDescent="0.2">
      <c r="A413" s="41" t="s">
        <v>564</v>
      </c>
      <c r="B413" s="57" t="s">
        <v>565</v>
      </c>
      <c r="C413" s="37" t="s">
        <v>2187</v>
      </c>
      <c r="D413" s="38"/>
      <c r="E413" s="11"/>
      <c r="F413" s="12"/>
      <c r="G413" s="14">
        <f t="shared" si="10"/>
        <v>0</v>
      </c>
      <c r="H413" s="28"/>
      <c r="I413" s="29"/>
    </row>
    <row r="414" spans="1:9" x14ac:dyDescent="0.2">
      <c r="A414" s="42" t="s">
        <v>578</v>
      </c>
      <c r="B414" s="63" t="s">
        <v>164</v>
      </c>
      <c r="C414" s="37" t="s">
        <v>2108</v>
      </c>
      <c r="D414" s="38">
        <v>1</v>
      </c>
      <c r="E414" s="15">
        <v>200</v>
      </c>
      <c r="F414" s="12"/>
      <c r="G414" s="14">
        <f t="shared" si="10"/>
        <v>200</v>
      </c>
      <c r="H414" s="28">
        <f>IF(ISBLANK(#REF!),"",D414*G414)</f>
        <v>200</v>
      </c>
      <c r="I414" s="29">
        <f>IF(ISBLANK(#REF!),"",E414*D414)</f>
        <v>200</v>
      </c>
    </row>
    <row r="415" spans="1:9" ht="25.5" x14ac:dyDescent="0.2">
      <c r="A415" s="42" t="s">
        <v>581</v>
      </c>
      <c r="B415" s="63" t="s">
        <v>582</v>
      </c>
      <c r="C415" s="37" t="s">
        <v>2108</v>
      </c>
      <c r="D415" s="38">
        <v>1</v>
      </c>
      <c r="E415" s="15">
        <v>300</v>
      </c>
      <c r="F415" s="12"/>
      <c r="G415" s="14">
        <f t="shared" si="10"/>
        <v>300</v>
      </c>
      <c r="H415" s="28">
        <f>IF(ISBLANK(#REF!),"",D415*G415)</f>
        <v>300</v>
      </c>
      <c r="I415" s="29">
        <f>IF(ISBLANK(#REF!),"",E415*D415)</f>
        <v>300</v>
      </c>
    </row>
    <row r="416" spans="1:9" ht="38.25" x14ac:dyDescent="0.2">
      <c r="A416" s="42" t="s">
        <v>697</v>
      </c>
      <c r="B416" s="63" t="s">
        <v>698</v>
      </c>
      <c r="C416" s="37" t="s">
        <v>2108</v>
      </c>
      <c r="D416" s="38">
        <v>1</v>
      </c>
      <c r="E416" s="15">
        <v>280</v>
      </c>
      <c r="F416" s="12"/>
      <c r="G416" s="14">
        <f t="shared" si="10"/>
        <v>280</v>
      </c>
      <c r="H416" s="28">
        <f>IF(ISBLANK(#REF!),"",D416*G416)</f>
        <v>280</v>
      </c>
      <c r="I416" s="29">
        <f>IF(ISBLANK(#REF!),"",E416*D416)</f>
        <v>280</v>
      </c>
    </row>
    <row r="417" spans="1:9" ht="25.5" hidden="1" x14ac:dyDescent="0.2">
      <c r="A417" s="41" t="s">
        <v>709</v>
      </c>
      <c r="B417" s="57" t="s">
        <v>710</v>
      </c>
      <c r="C417" s="37" t="s">
        <v>2187</v>
      </c>
      <c r="D417" s="38"/>
      <c r="E417" s="11"/>
      <c r="F417" s="12"/>
      <c r="G417" s="14"/>
      <c r="H417" s="28"/>
      <c r="I417" s="29"/>
    </row>
    <row r="418" spans="1:9" ht="25.5" x14ac:dyDescent="0.2">
      <c r="A418" s="40" t="s">
        <v>715</v>
      </c>
      <c r="B418" s="63" t="s">
        <v>716</v>
      </c>
      <c r="C418" s="37" t="s">
        <v>2108</v>
      </c>
      <c r="D418" s="38">
        <v>1</v>
      </c>
      <c r="E418" s="15">
        <f>1.8+1</f>
        <v>2.8</v>
      </c>
      <c r="F418" s="12">
        <v>1</v>
      </c>
      <c r="G418" s="14">
        <f t="shared" ref="G418:G442" si="11">F418+E418</f>
        <v>3.8</v>
      </c>
      <c r="H418" s="28">
        <f>IF(ISBLANK(#REF!),"",D418*G418)</f>
        <v>3.8</v>
      </c>
      <c r="I418" s="29">
        <f>IF(ISBLANK(#REF!),"",E418*D418)</f>
        <v>2.8</v>
      </c>
    </row>
    <row r="419" spans="1:9" ht="25.5" x14ac:dyDescent="0.2">
      <c r="A419" s="40" t="s">
        <v>724</v>
      </c>
      <c r="B419" s="63" t="s">
        <v>165</v>
      </c>
      <c r="C419" s="37" t="s">
        <v>2108</v>
      </c>
      <c r="D419" s="38">
        <v>1</v>
      </c>
      <c r="E419" s="15">
        <f>35+5</f>
        <v>40</v>
      </c>
      <c r="F419" s="12">
        <v>50</v>
      </c>
      <c r="G419" s="14">
        <f t="shared" si="11"/>
        <v>90</v>
      </c>
      <c r="H419" s="28">
        <f>IF(ISBLANK(#REF!),"",D419*G419)</f>
        <v>90</v>
      </c>
      <c r="I419" s="29">
        <f>IF(ISBLANK(#REF!),"",E419*D419)</f>
        <v>40</v>
      </c>
    </row>
    <row r="420" spans="1:9" ht="25.5" x14ac:dyDescent="0.2">
      <c r="A420" s="40" t="s">
        <v>742</v>
      </c>
      <c r="B420" s="63" t="s">
        <v>743</v>
      </c>
      <c r="C420" s="44" t="s">
        <v>2108</v>
      </c>
      <c r="D420" s="38">
        <v>1</v>
      </c>
      <c r="E420" s="15">
        <f>100+20</f>
        <v>120</v>
      </c>
      <c r="F420" s="12">
        <v>130</v>
      </c>
      <c r="G420" s="14">
        <f t="shared" si="11"/>
        <v>250</v>
      </c>
      <c r="H420" s="28">
        <f>IF(ISBLANK(#REF!),"",D420*G420)</f>
        <v>250</v>
      </c>
      <c r="I420" s="29">
        <f>IF(ISBLANK(#REF!),"",E420*D420)</f>
        <v>120</v>
      </c>
    </row>
    <row r="421" spans="1:9" ht="25.5" x14ac:dyDescent="0.2">
      <c r="A421" s="40" t="s">
        <v>748</v>
      </c>
      <c r="B421" s="63" t="s">
        <v>749</v>
      </c>
      <c r="C421" s="37" t="s">
        <v>2108</v>
      </c>
      <c r="D421" s="38">
        <v>1</v>
      </c>
      <c r="E421" s="15">
        <f>200+40</f>
        <v>240</v>
      </c>
      <c r="F421" s="12">
        <v>150</v>
      </c>
      <c r="G421" s="14">
        <f t="shared" si="11"/>
        <v>390</v>
      </c>
      <c r="H421" s="28">
        <f>IF(ISBLANK(#REF!),"",D421*G421)</f>
        <v>390</v>
      </c>
      <c r="I421" s="29">
        <f>IF(ISBLANK(#REF!),"",E421*D421)</f>
        <v>240</v>
      </c>
    </row>
    <row r="422" spans="1:9" ht="25.5" x14ac:dyDescent="0.2">
      <c r="A422" s="40" t="s">
        <v>754</v>
      </c>
      <c r="B422" s="63" t="s">
        <v>755</v>
      </c>
      <c r="C422" s="37" t="s">
        <v>2108</v>
      </c>
      <c r="D422" s="38">
        <v>1</v>
      </c>
      <c r="E422" s="15">
        <f>280+40</f>
        <v>320</v>
      </c>
      <c r="F422" s="12">
        <v>180</v>
      </c>
      <c r="G422" s="14">
        <f t="shared" si="11"/>
        <v>500</v>
      </c>
      <c r="H422" s="28">
        <f>IF(ISBLANK(#REF!),"",D422*G422)</f>
        <v>500</v>
      </c>
      <c r="I422" s="29">
        <f>IF(ISBLANK(#REF!),"",E422*D422)</f>
        <v>320</v>
      </c>
    </row>
    <row r="423" spans="1:9" ht="25.5" x14ac:dyDescent="0.2">
      <c r="A423" s="40" t="s">
        <v>615</v>
      </c>
      <c r="B423" s="63" t="s">
        <v>166</v>
      </c>
      <c r="C423" s="44" t="s">
        <v>2108</v>
      </c>
      <c r="D423" s="38">
        <v>1</v>
      </c>
      <c r="E423" s="15">
        <f>110+40</f>
        <v>150</v>
      </c>
      <c r="F423" s="12">
        <v>120</v>
      </c>
      <c r="G423" s="14">
        <f t="shared" si="11"/>
        <v>270</v>
      </c>
      <c r="H423" s="28">
        <f>IF(ISBLANK(#REF!),"",D423*G423)</f>
        <v>270</v>
      </c>
      <c r="I423" s="29">
        <f>IF(ISBLANK(#REF!),"",E423*D423)</f>
        <v>150</v>
      </c>
    </row>
    <row r="424" spans="1:9" ht="25.5" x14ac:dyDescent="0.2">
      <c r="A424" s="40" t="s">
        <v>624</v>
      </c>
      <c r="B424" s="63" t="s">
        <v>625</v>
      </c>
      <c r="C424" s="44" t="s">
        <v>2108</v>
      </c>
      <c r="D424" s="38">
        <v>1</v>
      </c>
      <c r="E424" s="15">
        <v>0</v>
      </c>
      <c r="F424" s="12"/>
      <c r="G424" s="14">
        <f t="shared" si="11"/>
        <v>0</v>
      </c>
      <c r="H424" s="28">
        <f>IF(ISBLANK(#REF!),"",D424*G424)</f>
        <v>0</v>
      </c>
      <c r="I424" s="29">
        <f>IF(ISBLANK(#REF!),"",E424*D424)</f>
        <v>0</v>
      </c>
    </row>
    <row r="425" spans="1:9" ht="25.5" x14ac:dyDescent="0.2">
      <c r="A425" s="40" t="s">
        <v>342</v>
      </c>
      <c r="B425" s="63" t="s">
        <v>167</v>
      </c>
      <c r="C425" s="37" t="s">
        <v>2108</v>
      </c>
      <c r="D425" s="38">
        <v>1</v>
      </c>
      <c r="E425" s="15">
        <f>100+20</f>
        <v>120</v>
      </c>
      <c r="F425" s="12">
        <v>80</v>
      </c>
      <c r="G425" s="14">
        <f t="shared" si="11"/>
        <v>200</v>
      </c>
      <c r="H425" s="28">
        <f>IF(ISBLANK(#REF!),"",D425*G425)</f>
        <v>200</v>
      </c>
      <c r="I425" s="29">
        <f>IF(ISBLANK(#REF!),"",E425*D425)</f>
        <v>120</v>
      </c>
    </row>
    <row r="426" spans="1:9" ht="25.5" x14ac:dyDescent="0.2">
      <c r="A426" s="42" t="s">
        <v>351</v>
      </c>
      <c r="B426" s="63" t="s">
        <v>168</v>
      </c>
      <c r="C426" s="37" t="s">
        <v>2108</v>
      </c>
      <c r="D426" s="38">
        <v>1</v>
      </c>
      <c r="E426" s="15">
        <f>500+40</f>
        <v>540</v>
      </c>
      <c r="F426" s="12">
        <v>150</v>
      </c>
      <c r="G426" s="14">
        <f t="shared" si="11"/>
        <v>690</v>
      </c>
      <c r="H426" s="28">
        <f>IF(ISBLANK(#REF!),"",D426*G426)</f>
        <v>690</v>
      </c>
      <c r="I426" s="29">
        <f>IF(ISBLANK(#REF!),"",E426*D426)</f>
        <v>540</v>
      </c>
    </row>
    <row r="427" spans="1:9" ht="25.5" x14ac:dyDescent="0.2">
      <c r="A427" s="42" t="s">
        <v>354</v>
      </c>
      <c r="B427" s="63" t="s">
        <v>355</v>
      </c>
      <c r="C427" s="37" t="s">
        <v>2108</v>
      </c>
      <c r="D427" s="38">
        <v>1</v>
      </c>
      <c r="E427" s="15">
        <v>0</v>
      </c>
      <c r="F427" s="12"/>
      <c r="G427" s="14">
        <f t="shared" si="11"/>
        <v>0</v>
      </c>
      <c r="H427" s="28">
        <f>IF(ISBLANK(#REF!),"",D427*G427)</f>
        <v>0</v>
      </c>
      <c r="I427" s="29">
        <f>IF(ISBLANK(#REF!),"",E427*D427)</f>
        <v>0</v>
      </c>
    </row>
    <row r="428" spans="1:9" ht="25.5" x14ac:dyDescent="0.2">
      <c r="A428" s="42" t="s">
        <v>391</v>
      </c>
      <c r="B428" s="63" t="s">
        <v>169</v>
      </c>
      <c r="C428" s="37" t="s">
        <v>2108</v>
      </c>
      <c r="D428" s="38">
        <v>1</v>
      </c>
      <c r="E428" s="15">
        <f>320+20</f>
        <v>340</v>
      </c>
      <c r="F428" s="12">
        <v>80</v>
      </c>
      <c r="G428" s="14">
        <f t="shared" si="11"/>
        <v>420</v>
      </c>
      <c r="H428" s="28">
        <f>IF(ISBLANK(#REF!),"",D428*G428)</f>
        <v>420</v>
      </c>
      <c r="I428" s="29">
        <f>IF(ISBLANK(#REF!),"",E428*D428)</f>
        <v>340</v>
      </c>
    </row>
    <row r="429" spans="1:9" ht="38.25" x14ac:dyDescent="0.2">
      <c r="A429" s="42" t="s">
        <v>394</v>
      </c>
      <c r="B429" s="63" t="s">
        <v>170</v>
      </c>
      <c r="C429" s="44" t="s">
        <v>2108</v>
      </c>
      <c r="D429" s="38">
        <v>1</v>
      </c>
      <c r="E429" s="15">
        <f>700+40</f>
        <v>740</v>
      </c>
      <c r="F429" s="12">
        <v>100</v>
      </c>
      <c r="G429" s="14">
        <f t="shared" si="11"/>
        <v>840</v>
      </c>
      <c r="H429" s="28">
        <f>IF(ISBLANK(#REF!),"",D429*G429)</f>
        <v>840</v>
      </c>
      <c r="I429" s="29">
        <f>IF(ISBLANK(#REF!),"",E429*D429)</f>
        <v>740</v>
      </c>
    </row>
    <row r="430" spans="1:9" ht="25.5" x14ac:dyDescent="0.2">
      <c r="A430" s="42" t="s">
        <v>397</v>
      </c>
      <c r="B430" s="63" t="s">
        <v>398</v>
      </c>
      <c r="C430" s="37" t="s">
        <v>2108</v>
      </c>
      <c r="D430" s="38">
        <v>1</v>
      </c>
      <c r="E430" s="15">
        <f>250+30</f>
        <v>280</v>
      </c>
      <c r="F430" s="12">
        <v>120</v>
      </c>
      <c r="G430" s="14">
        <f t="shared" si="11"/>
        <v>400</v>
      </c>
      <c r="H430" s="28">
        <f>IF(ISBLANK(#REF!),"",D430*G430)</f>
        <v>400</v>
      </c>
      <c r="I430" s="29">
        <f>IF(ISBLANK(#REF!),"",E430*D430)</f>
        <v>280</v>
      </c>
    </row>
    <row r="431" spans="1:9" ht="25.5" hidden="1" x14ac:dyDescent="0.2">
      <c r="A431" s="41" t="s">
        <v>645</v>
      </c>
      <c r="B431" s="57" t="s">
        <v>646</v>
      </c>
      <c r="C431" s="37" t="s">
        <v>2187</v>
      </c>
      <c r="D431" s="38"/>
      <c r="E431" s="11"/>
      <c r="F431" s="12"/>
      <c r="G431" s="14">
        <f t="shared" si="11"/>
        <v>0</v>
      </c>
      <c r="H431" s="28"/>
      <c r="I431" s="29"/>
    </row>
    <row r="432" spans="1:9" x14ac:dyDescent="0.2">
      <c r="A432" s="42" t="s">
        <v>648</v>
      </c>
      <c r="B432" s="63" t="s">
        <v>649</v>
      </c>
      <c r="C432" s="37" t="s">
        <v>2108</v>
      </c>
      <c r="D432" s="38">
        <v>1</v>
      </c>
      <c r="E432" s="15">
        <f>30+5</f>
        <v>35</v>
      </c>
      <c r="F432" s="12">
        <v>40</v>
      </c>
      <c r="G432" s="14">
        <f t="shared" si="11"/>
        <v>75</v>
      </c>
      <c r="H432" s="28">
        <f>IF(ISBLANK(#REF!),"",D432*G432)</f>
        <v>75</v>
      </c>
      <c r="I432" s="29">
        <f>IF(ISBLANK(#REF!),"",E432*D432)</f>
        <v>35</v>
      </c>
    </row>
    <row r="433" spans="1:9" ht="25.5" x14ac:dyDescent="0.2">
      <c r="A433" s="42" t="s">
        <v>226</v>
      </c>
      <c r="B433" s="63" t="s">
        <v>171</v>
      </c>
      <c r="C433" s="37" t="s">
        <v>2108</v>
      </c>
      <c r="D433" s="38">
        <v>1</v>
      </c>
      <c r="E433" s="15">
        <f>150+20</f>
        <v>170</v>
      </c>
      <c r="F433" s="12">
        <v>50</v>
      </c>
      <c r="G433" s="14">
        <f t="shared" si="11"/>
        <v>220</v>
      </c>
      <c r="H433" s="28">
        <f>IF(ISBLANK(#REF!),"",D433*G433)</f>
        <v>220</v>
      </c>
      <c r="I433" s="29">
        <f>IF(ISBLANK(#REF!),"",E433*D433)</f>
        <v>170</v>
      </c>
    </row>
    <row r="434" spans="1:9" ht="25.5" x14ac:dyDescent="0.2">
      <c r="A434" s="42" t="s">
        <v>657</v>
      </c>
      <c r="B434" s="63" t="s">
        <v>658</v>
      </c>
      <c r="C434" s="44" t="s">
        <v>2108</v>
      </c>
      <c r="D434" s="38">
        <v>1</v>
      </c>
      <c r="E434" s="15">
        <v>0</v>
      </c>
      <c r="F434" s="12"/>
      <c r="G434" s="14">
        <f t="shared" si="11"/>
        <v>0</v>
      </c>
      <c r="H434" s="28">
        <f>IF(ISBLANK(#REF!),"",D434*G434)</f>
        <v>0</v>
      </c>
      <c r="I434" s="29">
        <f>IF(ISBLANK(#REF!),"",E434*D434)</f>
        <v>0</v>
      </c>
    </row>
    <row r="435" spans="1:9" ht="38.25" hidden="1" x14ac:dyDescent="0.2">
      <c r="A435" s="41" t="s">
        <v>660</v>
      </c>
      <c r="B435" s="57" t="s">
        <v>661</v>
      </c>
      <c r="C435" s="37" t="s">
        <v>2187</v>
      </c>
      <c r="D435" s="38"/>
      <c r="E435" s="11"/>
      <c r="F435" s="12"/>
      <c r="G435" s="14">
        <f t="shared" si="11"/>
        <v>0</v>
      </c>
      <c r="H435" s="28"/>
      <c r="I435" s="29"/>
    </row>
    <row r="436" spans="1:9" ht="25.5" x14ac:dyDescent="0.2">
      <c r="A436" s="40" t="s">
        <v>666</v>
      </c>
      <c r="B436" s="63" t="s">
        <v>667</v>
      </c>
      <c r="C436" s="37" t="s">
        <v>2108</v>
      </c>
      <c r="D436" s="38">
        <v>1</v>
      </c>
      <c r="E436" s="15">
        <f>1+1</f>
        <v>2</v>
      </c>
      <c r="F436" s="12">
        <v>1</v>
      </c>
      <c r="G436" s="14">
        <f t="shared" si="11"/>
        <v>3</v>
      </c>
      <c r="H436" s="28">
        <f>IF(ISBLANK(#REF!),"",D436*G436)</f>
        <v>3</v>
      </c>
      <c r="I436" s="29">
        <f>IF(ISBLANK(#REF!),"",E436*D436)</f>
        <v>2</v>
      </c>
    </row>
    <row r="437" spans="1:9" ht="25.5" x14ac:dyDescent="0.2">
      <c r="A437" s="40" t="s">
        <v>669</v>
      </c>
      <c r="B437" s="63" t="s">
        <v>172</v>
      </c>
      <c r="C437" s="37" t="s">
        <v>2108</v>
      </c>
      <c r="D437" s="38">
        <v>1</v>
      </c>
      <c r="E437" s="15">
        <f>7+1</f>
        <v>8</v>
      </c>
      <c r="F437" s="12">
        <v>1.5</v>
      </c>
      <c r="G437" s="14">
        <f t="shared" si="11"/>
        <v>9.5</v>
      </c>
      <c r="H437" s="28">
        <f>IF(ISBLANK(#REF!),"",D437*G437)</f>
        <v>9.5</v>
      </c>
      <c r="I437" s="29">
        <f>IF(ISBLANK(#REF!),"",E437*D437)</f>
        <v>8</v>
      </c>
    </row>
    <row r="438" spans="1:9" ht="25.5" x14ac:dyDescent="0.2">
      <c r="A438" s="40" t="s">
        <v>241</v>
      </c>
      <c r="B438" s="63" t="s">
        <v>242</v>
      </c>
      <c r="C438" s="37" t="s">
        <v>2108</v>
      </c>
      <c r="D438" s="38">
        <v>1</v>
      </c>
      <c r="E438" s="15">
        <v>18</v>
      </c>
      <c r="F438" s="12">
        <v>2</v>
      </c>
      <c r="G438" s="14">
        <f t="shared" si="11"/>
        <v>20</v>
      </c>
      <c r="H438" s="28">
        <f>IF(ISBLANK(#REF!),"",D438*G438)</f>
        <v>20</v>
      </c>
      <c r="I438" s="29">
        <f>IF(ISBLANK(#REF!),"",E438*D438)</f>
        <v>18</v>
      </c>
    </row>
    <row r="439" spans="1:9" ht="25.5" x14ac:dyDescent="0.2">
      <c r="A439" s="40" t="s">
        <v>262</v>
      </c>
      <c r="B439" s="63" t="s">
        <v>174</v>
      </c>
      <c r="C439" s="37" t="s">
        <v>2108</v>
      </c>
      <c r="D439" s="38">
        <v>1</v>
      </c>
      <c r="E439" s="15">
        <f>2.6+1</f>
        <v>3.6</v>
      </c>
      <c r="F439" s="12">
        <v>2</v>
      </c>
      <c r="G439" s="14">
        <f t="shared" si="11"/>
        <v>5.6</v>
      </c>
      <c r="H439" s="28">
        <f>IF(ISBLANK(#REF!),"",D439*G439)</f>
        <v>5.6</v>
      </c>
      <c r="I439" s="29">
        <f>IF(ISBLANK(#REF!),"",E439*D439)</f>
        <v>3.6</v>
      </c>
    </row>
    <row r="440" spans="1:9" ht="25.5" x14ac:dyDescent="0.2">
      <c r="A440" s="40" t="s">
        <v>268</v>
      </c>
      <c r="B440" s="63" t="s">
        <v>173</v>
      </c>
      <c r="C440" s="37" t="s">
        <v>2108</v>
      </c>
      <c r="D440" s="38">
        <v>1</v>
      </c>
      <c r="E440" s="15">
        <f>6+1</f>
        <v>7</v>
      </c>
      <c r="F440" s="12">
        <v>2</v>
      </c>
      <c r="G440" s="14">
        <f t="shared" si="11"/>
        <v>9</v>
      </c>
      <c r="H440" s="28">
        <f>IF(ISBLANK(#REF!),"",D440*G440)</f>
        <v>9</v>
      </c>
      <c r="I440" s="29">
        <f>IF(ISBLANK(#REF!),"",E440*D440)</f>
        <v>7</v>
      </c>
    </row>
    <row r="441" spans="1:9" ht="25.5" x14ac:dyDescent="0.2">
      <c r="A441" s="40" t="s">
        <v>1103</v>
      </c>
      <c r="B441" s="63" t="s">
        <v>175</v>
      </c>
      <c r="C441" s="37" t="s">
        <v>2108</v>
      </c>
      <c r="D441" s="38">
        <v>1</v>
      </c>
      <c r="E441" s="15">
        <f>5.5+1</f>
        <v>6.5</v>
      </c>
      <c r="F441" s="12">
        <v>2</v>
      </c>
      <c r="G441" s="14">
        <f t="shared" si="11"/>
        <v>8.5</v>
      </c>
      <c r="H441" s="28">
        <f>IF(ISBLANK(#REF!),"",D441*G441)</f>
        <v>8.5</v>
      </c>
      <c r="I441" s="29">
        <f>IF(ISBLANK(#REF!),"",E441*D441)</f>
        <v>6.5</v>
      </c>
    </row>
    <row r="442" spans="1:9" x14ac:dyDescent="0.2">
      <c r="A442" s="40" t="s">
        <v>1118</v>
      </c>
      <c r="B442" s="63" t="s">
        <v>176</v>
      </c>
      <c r="C442" s="37" t="s">
        <v>2108</v>
      </c>
      <c r="D442" s="38">
        <v>1</v>
      </c>
      <c r="E442" s="15">
        <f>3.8+1</f>
        <v>4.8</v>
      </c>
      <c r="F442" s="12">
        <v>2</v>
      </c>
      <c r="G442" s="14">
        <f t="shared" si="11"/>
        <v>6.8</v>
      </c>
      <c r="H442" s="28">
        <f>IF(ISBLANK(#REF!),"",D442*G442)</f>
        <v>6.8</v>
      </c>
      <c r="I442" s="29">
        <f>IF(ISBLANK(#REF!),"",E442*D442)</f>
        <v>4.8</v>
      </c>
    </row>
    <row r="443" spans="1:9" ht="25.5" hidden="1" x14ac:dyDescent="0.2">
      <c r="A443" s="41" t="s">
        <v>1124</v>
      </c>
      <c r="B443" s="57" t="s">
        <v>1125</v>
      </c>
      <c r="C443" s="37" t="s">
        <v>2187</v>
      </c>
      <c r="D443" s="38"/>
      <c r="E443" s="11"/>
      <c r="F443" s="12"/>
      <c r="G443" s="14"/>
      <c r="H443" s="28"/>
      <c r="I443" s="29"/>
    </row>
    <row r="444" spans="1:9" ht="25.5" x14ac:dyDescent="0.2">
      <c r="A444" s="40" t="s">
        <v>1130</v>
      </c>
      <c r="B444" s="63" t="s">
        <v>177</v>
      </c>
      <c r="C444" s="37" t="s">
        <v>2108</v>
      </c>
      <c r="D444" s="38">
        <v>1</v>
      </c>
      <c r="E444" s="15">
        <f>3.5+1</f>
        <v>4.5</v>
      </c>
      <c r="F444" s="12">
        <v>2</v>
      </c>
      <c r="G444" s="14">
        <f t="shared" ref="G444:G455" si="12">F444+E444</f>
        <v>6.5</v>
      </c>
      <c r="H444" s="28">
        <f>IF(ISBLANK(#REF!),"",D444*G444)</f>
        <v>6.5</v>
      </c>
      <c r="I444" s="29">
        <f>IF(ISBLANK(#REF!),"",E444*D444)</f>
        <v>4.5</v>
      </c>
    </row>
    <row r="445" spans="1:9" ht="25.5" x14ac:dyDescent="0.2">
      <c r="A445" s="40" t="s">
        <v>1139</v>
      </c>
      <c r="B445" s="63" t="s">
        <v>1140</v>
      </c>
      <c r="C445" s="37" t="s">
        <v>2108</v>
      </c>
      <c r="D445" s="38">
        <v>1</v>
      </c>
      <c r="E445" s="15">
        <f>4+1</f>
        <v>5</v>
      </c>
      <c r="F445" s="12">
        <v>2</v>
      </c>
      <c r="G445" s="14">
        <f t="shared" si="12"/>
        <v>7</v>
      </c>
      <c r="H445" s="28">
        <f>IF(ISBLANK(#REF!),"",D445*G445)</f>
        <v>7</v>
      </c>
      <c r="I445" s="29">
        <f>IF(ISBLANK(#REF!),"",E445*D445)</f>
        <v>5</v>
      </c>
    </row>
    <row r="446" spans="1:9" ht="25.5" hidden="1" x14ac:dyDescent="0.2">
      <c r="A446" s="41" t="s">
        <v>428</v>
      </c>
      <c r="B446" s="57" t="s">
        <v>429</v>
      </c>
      <c r="C446" s="37" t="s">
        <v>2187</v>
      </c>
      <c r="D446" s="38"/>
      <c r="E446" s="11"/>
      <c r="F446" s="12"/>
      <c r="G446" s="14">
        <f t="shared" si="12"/>
        <v>0</v>
      </c>
      <c r="H446" s="28"/>
      <c r="I446" s="29"/>
    </row>
    <row r="447" spans="1:9" ht="25.5" x14ac:dyDescent="0.2">
      <c r="A447" s="42" t="s">
        <v>431</v>
      </c>
      <c r="B447" s="63" t="s">
        <v>180</v>
      </c>
      <c r="C447" s="37" t="s">
        <v>2108</v>
      </c>
      <c r="D447" s="38">
        <v>1</v>
      </c>
      <c r="E447" s="15">
        <f>2.2+1</f>
        <v>3.2</v>
      </c>
      <c r="F447" s="12">
        <v>2</v>
      </c>
      <c r="G447" s="14">
        <f t="shared" si="12"/>
        <v>5.2</v>
      </c>
      <c r="H447" s="28">
        <f>IF(ISBLANK(#REF!),"",D447*G447)</f>
        <v>5.2</v>
      </c>
      <c r="I447" s="29">
        <f>IF(ISBLANK(#REF!),"",E447*D447)</f>
        <v>3.2</v>
      </c>
    </row>
    <row r="448" spans="1:9" ht="31.5" customHeight="1" x14ac:dyDescent="0.2">
      <c r="A448" s="40" t="s">
        <v>492</v>
      </c>
      <c r="B448" s="63" t="s">
        <v>178</v>
      </c>
      <c r="C448" s="37" t="s">
        <v>2108</v>
      </c>
      <c r="D448" s="38">
        <v>1</v>
      </c>
      <c r="E448" s="15">
        <f>45+5</f>
        <v>50</v>
      </c>
      <c r="F448" s="12">
        <v>2</v>
      </c>
      <c r="G448" s="14">
        <f t="shared" si="12"/>
        <v>52</v>
      </c>
      <c r="H448" s="28">
        <f>IF(ISBLANK(#REF!),"",D448*G448)</f>
        <v>52</v>
      </c>
      <c r="I448" s="29">
        <f>IF(ISBLANK(#REF!),"",E448*D448)</f>
        <v>50</v>
      </c>
    </row>
    <row r="449" spans="1:9" ht="30.75" hidden="1" customHeight="1" x14ac:dyDescent="0.2">
      <c r="A449" s="40" t="s">
        <v>492</v>
      </c>
      <c r="B449" s="58" t="s">
        <v>179</v>
      </c>
      <c r="C449" s="37" t="s">
        <v>2108</v>
      </c>
      <c r="D449" s="38">
        <v>1</v>
      </c>
      <c r="E449" s="15">
        <f>30+5</f>
        <v>35</v>
      </c>
      <c r="F449" s="12">
        <v>2</v>
      </c>
      <c r="G449" s="14">
        <f t="shared" si="12"/>
        <v>37</v>
      </c>
      <c r="H449" s="30"/>
      <c r="I449" s="19"/>
    </row>
    <row r="450" spans="1:9" ht="25.5" x14ac:dyDescent="0.2">
      <c r="A450" s="42" t="s">
        <v>769</v>
      </c>
      <c r="B450" s="63" t="s">
        <v>181</v>
      </c>
      <c r="C450" s="37" t="s">
        <v>2108</v>
      </c>
      <c r="D450" s="38">
        <v>1</v>
      </c>
      <c r="E450" s="15">
        <f>25+5</f>
        <v>30</v>
      </c>
      <c r="F450" s="12">
        <v>2</v>
      </c>
      <c r="G450" s="14">
        <f t="shared" si="12"/>
        <v>32</v>
      </c>
      <c r="H450" s="28">
        <f>IF(ISBLANK(#REF!),"",D450*G450)</f>
        <v>32</v>
      </c>
      <c r="I450" s="29">
        <f>IF(ISBLANK(#REF!),"",E450*D450)</f>
        <v>30</v>
      </c>
    </row>
    <row r="451" spans="1:9" ht="25.5" hidden="1" x14ac:dyDescent="0.2">
      <c r="A451" s="42" t="s">
        <v>769</v>
      </c>
      <c r="B451" s="58" t="s">
        <v>183</v>
      </c>
      <c r="C451" s="37" t="s">
        <v>2108</v>
      </c>
      <c r="D451" s="38">
        <v>1</v>
      </c>
      <c r="E451" s="15">
        <f>45+5</f>
        <v>50</v>
      </c>
      <c r="F451" s="12">
        <v>2</v>
      </c>
      <c r="G451" s="14">
        <f t="shared" si="12"/>
        <v>52</v>
      </c>
      <c r="H451" s="30"/>
      <c r="I451" s="19"/>
    </row>
    <row r="452" spans="1:9" ht="25.5" x14ac:dyDescent="0.2">
      <c r="A452" s="42" t="s">
        <v>444</v>
      </c>
      <c r="B452" s="63" t="s">
        <v>182</v>
      </c>
      <c r="C452" s="37" t="s">
        <v>2108</v>
      </c>
      <c r="D452" s="38">
        <v>1</v>
      </c>
      <c r="E452" s="15">
        <f>6+1</f>
        <v>7</v>
      </c>
      <c r="F452" s="12">
        <v>2</v>
      </c>
      <c r="G452" s="14">
        <f t="shared" si="12"/>
        <v>9</v>
      </c>
      <c r="H452" s="28">
        <f>IF(ISBLANK(#REF!),"",D452*G452)</f>
        <v>9</v>
      </c>
      <c r="I452" s="29">
        <f>IF(ISBLANK(#REF!),"",E452*D452)</f>
        <v>7</v>
      </c>
    </row>
    <row r="453" spans="1:9" ht="25.5" x14ac:dyDescent="0.2">
      <c r="A453" s="40" t="s">
        <v>456</v>
      </c>
      <c r="B453" s="63" t="s">
        <v>184</v>
      </c>
      <c r="C453" s="37" t="s">
        <v>2108</v>
      </c>
      <c r="D453" s="38">
        <v>1</v>
      </c>
      <c r="E453" s="15">
        <f>45+5</f>
        <v>50</v>
      </c>
      <c r="F453" s="12">
        <v>2</v>
      </c>
      <c r="G453" s="14">
        <f t="shared" si="12"/>
        <v>52</v>
      </c>
      <c r="H453" s="28">
        <f>IF(ISBLANK(#REF!),"",D453*G453)</f>
        <v>52</v>
      </c>
      <c r="I453" s="29">
        <f>IF(ISBLANK(#REF!),"",E453*D453)</f>
        <v>50</v>
      </c>
    </row>
    <row r="454" spans="1:9" ht="25.5" hidden="1" x14ac:dyDescent="0.2">
      <c r="A454" s="40" t="s">
        <v>456</v>
      </c>
      <c r="B454" s="58" t="s">
        <v>185</v>
      </c>
      <c r="C454" s="37" t="s">
        <v>2108</v>
      </c>
      <c r="D454" s="38">
        <v>1</v>
      </c>
      <c r="E454" s="15">
        <f>80+5</f>
        <v>85</v>
      </c>
      <c r="F454" s="12">
        <v>4</v>
      </c>
      <c r="G454" s="14">
        <f t="shared" si="12"/>
        <v>89</v>
      </c>
      <c r="H454" s="30"/>
      <c r="I454" s="19"/>
    </row>
    <row r="455" spans="1:9" ht="25.5" x14ac:dyDescent="0.2">
      <c r="A455" s="40" t="s">
        <v>824</v>
      </c>
      <c r="B455" s="63" t="s">
        <v>186</v>
      </c>
      <c r="C455" s="37" t="s">
        <v>2108</v>
      </c>
      <c r="D455" s="38">
        <v>1</v>
      </c>
      <c r="E455" s="15">
        <f>80+10</f>
        <v>90</v>
      </c>
      <c r="F455" s="12">
        <v>100</v>
      </c>
      <c r="G455" s="14">
        <f t="shared" si="12"/>
        <v>190</v>
      </c>
      <c r="H455" s="28">
        <f>IF(ISBLANK(#REF!),"",D455*G455)</f>
        <v>190</v>
      </c>
      <c r="I455" s="29">
        <f>IF(ISBLANK(#REF!),"",E455*D455)</f>
        <v>90</v>
      </c>
    </row>
    <row r="456" spans="1:9" hidden="1" x14ac:dyDescent="0.2">
      <c r="A456" s="43"/>
      <c r="B456" s="59"/>
      <c r="C456" s="18"/>
      <c r="D456" s="19"/>
      <c r="E456" s="17"/>
      <c r="F456" s="18"/>
      <c r="G456" s="19"/>
      <c r="H456" s="17"/>
      <c r="I456" s="19"/>
    </row>
    <row r="457" spans="1:9" ht="38.25" x14ac:dyDescent="0.2">
      <c r="A457" s="42" t="s">
        <v>465</v>
      </c>
      <c r="B457" s="63" t="s">
        <v>187</v>
      </c>
      <c r="C457" s="37" t="s">
        <v>2108</v>
      </c>
      <c r="D457" s="38">
        <v>1</v>
      </c>
      <c r="E457" s="15">
        <f>20+1</f>
        <v>21</v>
      </c>
      <c r="F457" s="12">
        <v>2</v>
      </c>
      <c r="G457" s="14">
        <f>F457+E457</f>
        <v>23</v>
      </c>
      <c r="H457" s="28">
        <f>IF(ISBLANK(#REF!),"",D457*G457)</f>
        <v>23</v>
      </c>
      <c r="I457" s="29">
        <f>IF(ISBLANK(#REF!),"",E457*D457)</f>
        <v>21</v>
      </c>
    </row>
    <row r="458" spans="1:9" ht="38.25" x14ac:dyDescent="0.2">
      <c r="A458" s="42" t="s">
        <v>1</v>
      </c>
      <c r="B458" s="63" t="s">
        <v>188</v>
      </c>
      <c r="C458" s="37" t="s">
        <v>2108</v>
      </c>
      <c r="D458" s="38">
        <v>1</v>
      </c>
      <c r="E458" s="15">
        <f>12+1</f>
        <v>13</v>
      </c>
      <c r="F458" s="12">
        <v>2</v>
      </c>
      <c r="G458" s="14">
        <f>F458+E458</f>
        <v>15</v>
      </c>
      <c r="H458" s="28">
        <f>IF(ISBLANK(#REF!),"",D458*G458)</f>
        <v>15</v>
      </c>
      <c r="I458" s="29">
        <f>IF(ISBLANK(#REF!),"",E458*D458)</f>
        <v>13</v>
      </c>
    </row>
    <row r="459" spans="1:9" hidden="1" x14ac:dyDescent="0.2">
      <c r="A459" s="17"/>
      <c r="B459" s="59"/>
      <c r="C459" s="18"/>
      <c r="D459" s="19"/>
      <c r="E459" s="17"/>
      <c r="F459" s="18"/>
      <c r="G459" s="19"/>
      <c r="H459" s="17"/>
      <c r="I459" s="19"/>
    </row>
    <row r="460" spans="1:9" ht="38.25" hidden="1" x14ac:dyDescent="0.2">
      <c r="A460" s="41" t="s">
        <v>10</v>
      </c>
      <c r="B460" s="57" t="s">
        <v>11</v>
      </c>
      <c r="C460" s="37" t="s">
        <v>2187</v>
      </c>
      <c r="D460" s="38"/>
      <c r="E460" s="11"/>
      <c r="F460" s="12"/>
      <c r="G460" s="14"/>
      <c r="H460" s="28"/>
      <c r="I460" s="29"/>
    </row>
    <row r="461" spans="1:9" ht="25.5" x14ac:dyDescent="0.2">
      <c r="A461" s="40" t="s">
        <v>368</v>
      </c>
      <c r="B461" s="63" t="s">
        <v>369</v>
      </c>
      <c r="C461" s="37" t="s">
        <v>2108</v>
      </c>
      <c r="D461" s="38">
        <v>1</v>
      </c>
      <c r="E461" s="15">
        <f>1+0.5</f>
        <v>1.5</v>
      </c>
      <c r="F461" s="12">
        <v>1</v>
      </c>
      <c r="G461" s="14">
        <f>F461+E461</f>
        <v>2.5</v>
      </c>
      <c r="H461" s="28">
        <f>IF(ISBLANK(#REF!),"",D461*G461)</f>
        <v>2.5</v>
      </c>
      <c r="I461" s="29">
        <f>IF(ISBLANK(#REF!),"",E461*D461)</f>
        <v>1.5</v>
      </c>
    </row>
    <row r="462" spans="1:9" ht="25.5" x14ac:dyDescent="0.2">
      <c r="A462" s="40" t="s">
        <v>371</v>
      </c>
      <c r="B462" s="63" t="s">
        <v>372</v>
      </c>
      <c r="C462" s="37" t="s">
        <v>2108</v>
      </c>
      <c r="D462" s="38">
        <v>1</v>
      </c>
      <c r="E462" s="15">
        <f>2+1</f>
        <v>3</v>
      </c>
      <c r="F462" s="12">
        <v>1</v>
      </c>
      <c r="G462" s="14">
        <f>F462+E462</f>
        <v>4</v>
      </c>
      <c r="H462" s="28">
        <f>IF(ISBLANK(#REF!),"",D462*G462)</f>
        <v>4</v>
      </c>
      <c r="I462" s="29">
        <f>IF(ISBLANK(#REF!),"",E462*D462)</f>
        <v>3</v>
      </c>
    </row>
    <row r="463" spans="1:9" ht="25.5" x14ac:dyDescent="0.2">
      <c r="A463" s="40" t="s">
        <v>374</v>
      </c>
      <c r="B463" s="63" t="s">
        <v>2540</v>
      </c>
      <c r="C463" s="37" t="s">
        <v>2108</v>
      </c>
      <c r="D463" s="38">
        <v>1</v>
      </c>
      <c r="E463" s="15">
        <f>2.7+1</f>
        <v>3.7</v>
      </c>
      <c r="F463" s="12">
        <v>1</v>
      </c>
      <c r="G463" s="14">
        <f>F463+E463</f>
        <v>4.7</v>
      </c>
      <c r="H463" s="28">
        <f>IF(ISBLANK(#REF!),"",D463*G463)</f>
        <v>4.7</v>
      </c>
      <c r="I463" s="29">
        <f>IF(ISBLANK(#REF!),"",E463*D463)</f>
        <v>3.7</v>
      </c>
    </row>
    <row r="464" spans="1:9" ht="25.5" hidden="1" x14ac:dyDescent="0.2">
      <c r="A464" s="41" t="s">
        <v>380</v>
      </c>
      <c r="B464" s="57" t="s">
        <v>381</v>
      </c>
      <c r="C464" s="37" t="s">
        <v>2187</v>
      </c>
      <c r="D464" s="38"/>
      <c r="E464" s="11"/>
      <c r="F464" s="12"/>
      <c r="G464" s="14"/>
      <c r="H464" s="28"/>
      <c r="I464" s="29"/>
    </row>
    <row r="465" spans="1:9" ht="25.5" x14ac:dyDescent="0.2">
      <c r="A465" s="42" t="s">
        <v>61</v>
      </c>
      <c r="B465" s="63" t="s">
        <v>62</v>
      </c>
      <c r="C465" s="37" t="s">
        <v>2108</v>
      </c>
      <c r="D465" s="38">
        <v>1</v>
      </c>
      <c r="E465" s="15">
        <f>4.3+1</f>
        <v>5.3</v>
      </c>
      <c r="F465" s="12">
        <v>1</v>
      </c>
      <c r="G465" s="14">
        <f>F465+E465</f>
        <v>6.3</v>
      </c>
      <c r="H465" s="28">
        <f>IF(ISBLANK(#REF!),"",D465*G465)</f>
        <v>6.3</v>
      </c>
      <c r="I465" s="29">
        <f>IF(ISBLANK(#REF!),"",E465*D465)</f>
        <v>5.3</v>
      </c>
    </row>
    <row r="466" spans="1:9" ht="25.5" x14ac:dyDescent="0.2">
      <c r="A466" s="42" t="s">
        <v>70</v>
      </c>
      <c r="B466" s="63" t="s">
        <v>71</v>
      </c>
      <c r="C466" s="37" t="s">
        <v>2108</v>
      </c>
      <c r="D466" s="38">
        <v>1</v>
      </c>
      <c r="E466" s="15">
        <f>12+1</f>
        <v>13</v>
      </c>
      <c r="F466" s="12">
        <v>2</v>
      </c>
      <c r="G466" s="14">
        <f>F466+E466</f>
        <v>15</v>
      </c>
      <c r="H466" s="28">
        <f>IF(ISBLANK(#REF!),"",D466*G466)</f>
        <v>15</v>
      </c>
      <c r="I466" s="29">
        <f>IF(ISBLANK(#REF!),"",E466*D466)</f>
        <v>13</v>
      </c>
    </row>
    <row r="467" spans="1:9" ht="25.5" x14ac:dyDescent="0.2">
      <c r="A467" s="40" t="s">
        <v>489</v>
      </c>
      <c r="B467" s="63" t="s">
        <v>2541</v>
      </c>
      <c r="C467" s="37" t="s">
        <v>2108</v>
      </c>
      <c r="D467" s="38">
        <v>1</v>
      </c>
      <c r="E467" s="15">
        <f>35+2</f>
        <v>37</v>
      </c>
      <c r="F467" s="12">
        <v>2</v>
      </c>
      <c r="G467" s="14">
        <f>F467+E467</f>
        <v>39</v>
      </c>
      <c r="H467" s="28">
        <f>IF(ISBLANK(#REF!),"",D467*G467)</f>
        <v>39</v>
      </c>
      <c r="I467" s="29">
        <f>IF(ISBLANK(#REF!),"",E467*D467)</f>
        <v>37</v>
      </c>
    </row>
    <row r="468" spans="1:9" ht="25.5" x14ac:dyDescent="0.2">
      <c r="A468" s="40" t="s">
        <v>882</v>
      </c>
      <c r="B468" s="63" t="s">
        <v>2542</v>
      </c>
      <c r="C468" s="44" t="s">
        <v>2108</v>
      </c>
      <c r="D468" s="38">
        <v>1</v>
      </c>
      <c r="E468" s="15">
        <f>50+5</f>
        <v>55</v>
      </c>
      <c r="F468" s="12">
        <v>4</v>
      </c>
      <c r="G468" s="14">
        <f>F468+E468</f>
        <v>59</v>
      </c>
      <c r="H468" s="28">
        <f>IF(ISBLANK(#REF!),"",D468*G468)</f>
        <v>59</v>
      </c>
      <c r="I468" s="29">
        <f>IF(ISBLANK(#REF!),"",E468*D468)</f>
        <v>55</v>
      </c>
    </row>
    <row r="469" spans="1:9" ht="25.5" hidden="1" x14ac:dyDescent="0.2">
      <c r="A469" s="41" t="s">
        <v>891</v>
      </c>
      <c r="B469" s="57" t="s">
        <v>892</v>
      </c>
      <c r="C469" s="37" t="s">
        <v>2187</v>
      </c>
      <c r="D469" s="38"/>
      <c r="E469" s="11"/>
      <c r="F469" s="12"/>
      <c r="G469" s="14"/>
      <c r="H469" s="28"/>
      <c r="I469" s="29"/>
    </row>
    <row r="470" spans="1:9" ht="25.5" x14ac:dyDescent="0.2">
      <c r="A470" s="42" t="s">
        <v>894</v>
      </c>
      <c r="B470" s="63" t="s">
        <v>895</v>
      </c>
      <c r="C470" s="37" t="s">
        <v>2108</v>
      </c>
      <c r="D470" s="38">
        <v>1</v>
      </c>
      <c r="E470" s="15">
        <v>5</v>
      </c>
      <c r="F470" s="12">
        <v>2</v>
      </c>
      <c r="G470" s="14">
        <f>F470+E470</f>
        <v>7</v>
      </c>
      <c r="H470" s="28">
        <f>IF(ISBLANK(#REF!),"",D470*G470)</f>
        <v>7</v>
      </c>
      <c r="I470" s="29">
        <f>IF(ISBLANK(#REF!),"",E470*D470)</f>
        <v>5</v>
      </c>
    </row>
    <row r="471" spans="1:9" ht="25.5" x14ac:dyDescent="0.2">
      <c r="A471" s="42" t="s">
        <v>900</v>
      </c>
      <c r="B471" s="63" t="s">
        <v>901</v>
      </c>
      <c r="C471" s="37" t="s">
        <v>2108</v>
      </c>
      <c r="D471" s="38">
        <v>1</v>
      </c>
      <c r="E471" s="15">
        <v>6</v>
      </c>
      <c r="F471" s="12">
        <v>2</v>
      </c>
      <c r="G471" s="14">
        <f>F471+E471</f>
        <v>8</v>
      </c>
      <c r="H471" s="28">
        <f>IF(ISBLANK(#REF!),"",D471*G471)</f>
        <v>8</v>
      </c>
      <c r="I471" s="29">
        <f>IF(ISBLANK(#REF!),"",E471*D471)</f>
        <v>6</v>
      </c>
    </row>
    <row r="472" spans="1:9" ht="25.5" x14ac:dyDescent="0.2">
      <c r="A472" s="40" t="s">
        <v>906</v>
      </c>
      <c r="B472" s="63" t="s">
        <v>907</v>
      </c>
      <c r="C472" s="44" t="s">
        <v>2108</v>
      </c>
      <c r="D472" s="38">
        <v>1</v>
      </c>
      <c r="E472" s="15">
        <v>6</v>
      </c>
      <c r="F472" s="12">
        <v>2</v>
      </c>
      <c r="G472" s="14">
        <f>F472+E472</f>
        <v>8</v>
      </c>
      <c r="H472" s="28">
        <f>IF(ISBLANK(#REF!),"",D472*G472)</f>
        <v>8</v>
      </c>
      <c r="I472" s="29">
        <f>IF(ISBLANK(#REF!),"",E472*D472)</f>
        <v>6</v>
      </c>
    </row>
    <row r="473" spans="1:9" ht="25.5" x14ac:dyDescent="0.2">
      <c r="A473" s="42" t="s">
        <v>912</v>
      </c>
      <c r="B473" s="63" t="s">
        <v>913</v>
      </c>
      <c r="C473" s="37" t="s">
        <v>2108</v>
      </c>
      <c r="D473" s="38">
        <v>1</v>
      </c>
      <c r="E473" s="15">
        <v>8</v>
      </c>
      <c r="F473" s="12">
        <v>2</v>
      </c>
      <c r="G473" s="14">
        <f>F473+E473</f>
        <v>10</v>
      </c>
      <c r="H473" s="28">
        <f>IF(ISBLANK(#REF!),"",D473*G473)</f>
        <v>10</v>
      </c>
      <c r="I473" s="29">
        <f>IF(ISBLANK(#REF!),"",E473*D473)</f>
        <v>8</v>
      </c>
    </row>
    <row r="474" spans="1:9" ht="25.5" x14ac:dyDescent="0.2">
      <c r="A474" s="42" t="s">
        <v>915</v>
      </c>
      <c r="B474" s="63" t="s">
        <v>916</v>
      </c>
      <c r="C474" s="37" t="s">
        <v>2108</v>
      </c>
      <c r="D474" s="38">
        <v>1</v>
      </c>
      <c r="E474" s="15">
        <v>20</v>
      </c>
      <c r="F474" s="12">
        <v>2</v>
      </c>
      <c r="G474" s="14">
        <f>F474+E474</f>
        <v>22</v>
      </c>
      <c r="H474" s="28">
        <f>IF(ISBLANK(#REF!),"",D474*G474)</f>
        <v>22</v>
      </c>
      <c r="I474" s="29">
        <f>IF(ISBLANK(#REF!),"",E474*D474)</f>
        <v>20</v>
      </c>
    </row>
    <row r="475" spans="1:9" ht="25.5" hidden="1" x14ac:dyDescent="0.2">
      <c r="A475" s="41" t="s">
        <v>921</v>
      </c>
      <c r="B475" s="57" t="s">
        <v>922</v>
      </c>
      <c r="C475" s="37" t="s">
        <v>2187</v>
      </c>
      <c r="D475" s="38"/>
      <c r="E475" s="11"/>
      <c r="F475" s="12"/>
      <c r="G475" s="14"/>
      <c r="H475" s="28"/>
      <c r="I475" s="29"/>
    </row>
    <row r="476" spans="1:9" ht="25.5" x14ac:dyDescent="0.2">
      <c r="A476" s="40" t="s">
        <v>303</v>
      </c>
      <c r="B476" s="63" t="s">
        <v>2543</v>
      </c>
      <c r="C476" s="37" t="s">
        <v>2108</v>
      </c>
      <c r="D476" s="38">
        <v>1</v>
      </c>
      <c r="E476" s="15">
        <v>1.3</v>
      </c>
      <c r="F476" s="12">
        <v>0</v>
      </c>
      <c r="G476" s="14">
        <f>F476+E476</f>
        <v>1.3</v>
      </c>
      <c r="H476" s="28">
        <f>IF(ISBLANK(#REF!),"",D476*G476)</f>
        <v>1.3</v>
      </c>
      <c r="I476" s="29">
        <f>IF(ISBLANK(#REF!),"",E476*D476)</f>
        <v>1.3</v>
      </c>
    </row>
    <row r="477" spans="1:9" ht="38.25" x14ac:dyDescent="0.2">
      <c r="A477" s="40" t="s">
        <v>306</v>
      </c>
      <c r="B477" s="63" t="s">
        <v>2544</v>
      </c>
      <c r="C477" s="44" t="s">
        <v>2108</v>
      </c>
      <c r="D477" s="38">
        <v>1</v>
      </c>
      <c r="E477" s="15">
        <v>1.5</v>
      </c>
      <c r="F477" s="12">
        <v>0</v>
      </c>
      <c r="G477" s="14">
        <f>F477+E477</f>
        <v>1.5</v>
      </c>
      <c r="H477" s="28">
        <f>IF(ISBLANK(#REF!),"",D477*G477)</f>
        <v>1.5</v>
      </c>
      <c r="I477" s="29">
        <f>IF(ISBLANK(#REF!),"",E477*D477)</f>
        <v>1.5</v>
      </c>
    </row>
    <row r="478" spans="1:9" hidden="1" x14ac:dyDescent="0.2">
      <c r="A478" s="39" t="s">
        <v>309</v>
      </c>
      <c r="B478" s="57" t="s">
        <v>310</v>
      </c>
      <c r="C478" s="37" t="s">
        <v>2187</v>
      </c>
      <c r="D478" s="38"/>
      <c r="E478" s="11"/>
      <c r="F478" s="12"/>
      <c r="G478" s="14"/>
      <c r="H478" s="28"/>
      <c r="I478" s="29"/>
    </row>
    <row r="479" spans="1:9" hidden="1" x14ac:dyDescent="0.2">
      <c r="A479" s="41" t="s">
        <v>311</v>
      </c>
      <c r="B479" s="57" t="s">
        <v>312</v>
      </c>
      <c r="C479" s="37" t="s">
        <v>2187</v>
      </c>
      <c r="D479" s="38"/>
      <c r="E479" s="11"/>
      <c r="F479" s="12"/>
      <c r="G479" s="14"/>
      <c r="H479" s="28"/>
      <c r="I479" s="29"/>
    </row>
    <row r="480" spans="1:9" ht="25.5" x14ac:dyDescent="0.2">
      <c r="A480" s="40" t="s">
        <v>313</v>
      </c>
      <c r="B480" s="63" t="s">
        <v>314</v>
      </c>
      <c r="C480" s="37" t="s">
        <v>2204</v>
      </c>
      <c r="D480" s="38">
        <v>1</v>
      </c>
      <c r="E480" s="15">
        <v>0</v>
      </c>
      <c r="F480" s="12">
        <v>0</v>
      </c>
      <c r="G480" s="14">
        <f>F480+E480</f>
        <v>0</v>
      </c>
      <c r="H480" s="28">
        <f>IF(ISBLANK(#REF!),"",D480*G480)</f>
        <v>0</v>
      </c>
      <c r="I480" s="29">
        <f>IF(ISBLANK(#REF!),"",E480*D480)</f>
        <v>0</v>
      </c>
    </row>
    <row r="481" spans="1:9" ht="25.5" x14ac:dyDescent="0.2">
      <c r="A481" s="40" t="s">
        <v>316</v>
      </c>
      <c r="B481" s="63" t="s">
        <v>317</v>
      </c>
      <c r="C481" s="37" t="s">
        <v>2204</v>
      </c>
      <c r="D481" s="38">
        <v>1</v>
      </c>
      <c r="E481" s="15">
        <v>0</v>
      </c>
      <c r="F481" s="12">
        <v>0</v>
      </c>
      <c r="G481" s="14">
        <f>F481+E481</f>
        <v>0</v>
      </c>
      <c r="H481" s="28">
        <f>IF(ISBLANK(#REF!),"",D481*G481)</f>
        <v>0</v>
      </c>
      <c r="I481" s="29">
        <f>IF(ISBLANK(#REF!),"",E481*D481)</f>
        <v>0</v>
      </c>
    </row>
    <row r="482" spans="1:9" ht="25.5" x14ac:dyDescent="0.2">
      <c r="A482" s="40" t="s">
        <v>587</v>
      </c>
      <c r="B482" s="63" t="s">
        <v>588</v>
      </c>
      <c r="C482" s="37" t="s">
        <v>2204</v>
      </c>
      <c r="D482" s="38">
        <v>1</v>
      </c>
      <c r="E482" s="15">
        <v>0</v>
      </c>
      <c r="F482" s="12">
        <v>0</v>
      </c>
      <c r="G482" s="14">
        <f>F482+E482</f>
        <v>0</v>
      </c>
      <c r="H482" s="28">
        <f>IF(ISBLANK(#REF!),"",D482*G482)</f>
        <v>0</v>
      </c>
      <c r="I482" s="29">
        <f>IF(ISBLANK(#REF!),"",E482*D482)</f>
        <v>0</v>
      </c>
    </row>
    <row r="483" spans="1:9" hidden="1" x14ac:dyDescent="0.2">
      <c r="A483" s="41" t="s">
        <v>590</v>
      </c>
      <c r="B483" s="57" t="s">
        <v>591</v>
      </c>
      <c r="C483" s="37" t="s">
        <v>2187</v>
      </c>
      <c r="D483" s="38"/>
      <c r="E483" s="11"/>
      <c r="F483" s="12"/>
      <c r="G483" s="14"/>
      <c r="H483" s="28"/>
      <c r="I483" s="29"/>
    </row>
    <row r="484" spans="1:9" ht="38.25" x14ac:dyDescent="0.2">
      <c r="A484" s="40" t="s">
        <v>592</v>
      </c>
      <c r="B484" s="63" t="s">
        <v>593</v>
      </c>
      <c r="C484" s="37" t="s">
        <v>2204</v>
      </c>
      <c r="D484" s="38">
        <v>1</v>
      </c>
      <c r="E484" s="15">
        <v>0</v>
      </c>
      <c r="F484" s="12">
        <v>0</v>
      </c>
      <c r="G484" s="14">
        <f>F484+E484</f>
        <v>0</v>
      </c>
      <c r="H484" s="28">
        <f>IF(ISBLANK(#REF!),"",D484*G484)</f>
        <v>0</v>
      </c>
      <c r="I484" s="29">
        <f>IF(ISBLANK(#REF!),"",E484*D484)</f>
        <v>0</v>
      </c>
    </row>
    <row r="485" spans="1:9" ht="38.25" x14ac:dyDescent="0.2">
      <c r="A485" s="40" t="s">
        <v>41</v>
      </c>
      <c r="B485" s="63" t="s">
        <v>42</v>
      </c>
      <c r="C485" s="37" t="s">
        <v>2204</v>
      </c>
      <c r="D485" s="38">
        <v>1</v>
      </c>
      <c r="E485" s="15">
        <v>0</v>
      </c>
      <c r="F485" s="12">
        <v>0</v>
      </c>
      <c r="G485" s="14">
        <f>F485+E485</f>
        <v>0</v>
      </c>
      <c r="H485" s="28">
        <f>IF(ISBLANK(#REF!),"",D485*G485)</f>
        <v>0</v>
      </c>
      <c r="I485" s="29">
        <f>IF(ISBLANK(#REF!),"",E485*D485)</f>
        <v>0</v>
      </c>
    </row>
    <row r="486" spans="1:9" hidden="1" x14ac:dyDescent="0.2">
      <c r="A486" s="41" t="s">
        <v>471</v>
      </c>
      <c r="B486" s="57" t="s">
        <v>472</v>
      </c>
      <c r="C486" s="37" t="s">
        <v>2187</v>
      </c>
      <c r="D486" s="38"/>
      <c r="E486" s="11"/>
      <c r="F486" s="12"/>
      <c r="G486" s="14"/>
      <c r="H486" s="28"/>
      <c r="I486" s="29"/>
    </row>
    <row r="487" spans="1:9" ht="25.5" x14ac:dyDescent="0.2">
      <c r="A487" s="40" t="s">
        <v>473</v>
      </c>
      <c r="B487" s="63" t="s">
        <v>474</v>
      </c>
      <c r="C487" s="37" t="s">
        <v>2204</v>
      </c>
      <c r="D487" s="38">
        <v>1</v>
      </c>
      <c r="E487" s="15">
        <v>0</v>
      </c>
      <c r="F487" s="12">
        <v>0</v>
      </c>
      <c r="G487" s="14">
        <f>F487+E487</f>
        <v>0</v>
      </c>
      <c r="H487" s="28">
        <f>IF(ISBLANK(#REF!),"",D487*G487)</f>
        <v>0</v>
      </c>
      <c r="I487" s="29">
        <f>IF(ISBLANK(#REF!),"",E487*D487)</f>
        <v>0</v>
      </c>
    </row>
    <row r="488" spans="1:9" hidden="1" x14ac:dyDescent="0.2">
      <c r="A488" s="35" t="s">
        <v>1011</v>
      </c>
      <c r="B488" s="57" t="s">
        <v>1012</v>
      </c>
      <c r="C488" s="37" t="s">
        <v>2187</v>
      </c>
      <c r="D488" s="38"/>
      <c r="E488" s="11"/>
      <c r="F488" s="12"/>
      <c r="G488" s="14"/>
      <c r="H488" s="28"/>
      <c r="I488" s="29"/>
    </row>
    <row r="489" spans="1:9" hidden="1" x14ac:dyDescent="0.2">
      <c r="A489" s="39" t="s">
        <v>1013</v>
      </c>
      <c r="B489" s="57" t="s">
        <v>1014</v>
      </c>
      <c r="C489" s="37" t="s">
        <v>2187</v>
      </c>
      <c r="D489" s="38"/>
      <c r="E489" s="11"/>
      <c r="F489" s="12"/>
      <c r="G489" s="14"/>
      <c r="H489" s="28"/>
      <c r="I489" s="29"/>
    </row>
    <row r="490" spans="1:9" x14ac:dyDescent="0.2">
      <c r="A490" s="42" t="s">
        <v>1015</v>
      </c>
      <c r="B490" s="63" t="s">
        <v>1016</v>
      </c>
      <c r="C490" s="37" t="s">
        <v>2192</v>
      </c>
      <c r="D490" s="38">
        <v>1</v>
      </c>
      <c r="E490" s="15">
        <v>0</v>
      </c>
      <c r="F490" s="12">
        <v>0</v>
      </c>
      <c r="G490" s="14">
        <f>F490+E490</f>
        <v>0</v>
      </c>
      <c r="H490" s="28">
        <f>IF(ISBLANK(#REF!),"",D490*G490)</f>
        <v>0</v>
      </c>
      <c r="I490" s="29">
        <f>IF(ISBLANK(#REF!),"",E490*D490)</f>
        <v>0</v>
      </c>
    </row>
    <row r="491" spans="1:9" hidden="1" x14ac:dyDescent="0.2">
      <c r="A491" s="39" t="s">
        <v>1018</v>
      </c>
      <c r="B491" s="57" t="s">
        <v>1019</v>
      </c>
      <c r="C491" s="37" t="s">
        <v>2187</v>
      </c>
      <c r="D491" s="38"/>
      <c r="E491" s="11"/>
      <c r="F491" s="12"/>
      <c r="G491" s="14"/>
      <c r="H491" s="28"/>
      <c r="I491" s="29"/>
    </row>
    <row r="492" spans="1:9" ht="25.5" hidden="1" x14ac:dyDescent="0.2">
      <c r="A492" s="41" t="s">
        <v>1020</v>
      </c>
      <c r="B492" s="57" t="s">
        <v>1021</v>
      </c>
      <c r="C492" s="37" t="s">
        <v>2187</v>
      </c>
      <c r="D492" s="38"/>
      <c r="E492" s="11"/>
      <c r="F492" s="12"/>
      <c r="G492" s="14"/>
      <c r="H492" s="28"/>
      <c r="I492" s="29"/>
    </row>
    <row r="493" spans="1:9" x14ac:dyDescent="0.2">
      <c r="A493" s="40" t="s">
        <v>1022</v>
      </c>
      <c r="B493" s="63" t="s">
        <v>1023</v>
      </c>
      <c r="C493" s="37" t="s">
        <v>2149</v>
      </c>
      <c r="D493" s="38">
        <v>1</v>
      </c>
      <c r="E493" s="15">
        <v>0</v>
      </c>
      <c r="F493" s="12">
        <v>0</v>
      </c>
      <c r="G493" s="14">
        <f>F493+E493</f>
        <v>0</v>
      </c>
      <c r="H493" s="28">
        <f>IF(ISBLANK(#REF!),"",D493*G493)</f>
        <v>0</v>
      </c>
      <c r="I493" s="29">
        <f>IF(ISBLANK(#REF!),"",E493*D493)</f>
        <v>0</v>
      </c>
    </row>
    <row r="494" spans="1:9" hidden="1" x14ac:dyDescent="0.2">
      <c r="A494" s="41" t="s">
        <v>1028</v>
      </c>
      <c r="B494" s="57" t="s">
        <v>1029</v>
      </c>
      <c r="C494" s="37" t="s">
        <v>2187</v>
      </c>
      <c r="D494" s="38"/>
      <c r="E494" s="11"/>
      <c r="F494" s="12"/>
      <c r="G494" s="14"/>
      <c r="H494" s="28"/>
      <c r="I494" s="29"/>
    </row>
    <row r="495" spans="1:9" x14ac:dyDescent="0.2">
      <c r="A495" s="40" t="s">
        <v>1030</v>
      </c>
      <c r="B495" s="63" t="s">
        <v>1029</v>
      </c>
      <c r="C495" s="37" t="s">
        <v>2149</v>
      </c>
      <c r="D495" s="38">
        <v>1</v>
      </c>
      <c r="E495" s="15">
        <v>0</v>
      </c>
      <c r="F495" s="12">
        <v>0</v>
      </c>
      <c r="G495" s="14">
        <f>F495+E495</f>
        <v>0</v>
      </c>
      <c r="H495" s="28">
        <f>IF(ISBLANK(#REF!),"",D495*G495)</f>
        <v>0</v>
      </c>
      <c r="I495" s="29">
        <f>IF(ISBLANK(#REF!),"",E495*D495)</f>
        <v>0</v>
      </c>
    </row>
    <row r="496" spans="1:9" hidden="1" x14ac:dyDescent="0.2">
      <c r="A496" s="41" t="s">
        <v>418</v>
      </c>
      <c r="B496" s="57" t="s">
        <v>419</v>
      </c>
      <c r="C496" s="37" t="s">
        <v>2187</v>
      </c>
      <c r="D496" s="38"/>
      <c r="E496" s="11"/>
      <c r="F496" s="12"/>
      <c r="G496" s="14"/>
      <c r="H496" s="28"/>
      <c r="I496" s="29"/>
    </row>
    <row r="497" spans="1:9" x14ac:dyDescent="0.2">
      <c r="A497" s="40" t="s">
        <v>420</v>
      </c>
      <c r="B497" s="63" t="s">
        <v>419</v>
      </c>
      <c r="C497" s="37" t="s">
        <v>2149</v>
      </c>
      <c r="D497" s="38">
        <v>1</v>
      </c>
      <c r="E497" s="15">
        <v>0</v>
      </c>
      <c r="F497" s="12">
        <v>0</v>
      </c>
      <c r="G497" s="14">
        <f>F497+E497</f>
        <v>0</v>
      </c>
      <c r="H497" s="28">
        <f>IF(ISBLANK(#REF!),"",D497*G497)</f>
        <v>0</v>
      </c>
      <c r="I497" s="29">
        <f>IF(ISBLANK(#REF!),"",E497*D497)</f>
        <v>0</v>
      </c>
    </row>
    <row r="498" spans="1:9" x14ac:dyDescent="0.2">
      <c r="A498" s="40" t="s">
        <v>196</v>
      </c>
      <c r="B498" s="63" t="s">
        <v>197</v>
      </c>
      <c r="C498" s="37" t="s">
        <v>2192</v>
      </c>
      <c r="D498" s="38">
        <v>1</v>
      </c>
      <c r="E498" s="15">
        <v>0</v>
      </c>
      <c r="F498" s="12">
        <v>0</v>
      </c>
      <c r="G498" s="14">
        <f>F498+E498</f>
        <v>0</v>
      </c>
      <c r="H498" s="28">
        <f>IF(ISBLANK(#REF!),"",D498*G498)</f>
        <v>0</v>
      </c>
      <c r="I498" s="29">
        <f>IF(ISBLANK(#REF!),"",E498*D498)</f>
        <v>0</v>
      </c>
    </row>
    <row r="499" spans="1:9" hidden="1" x14ac:dyDescent="0.2">
      <c r="A499" s="41" t="s">
        <v>270</v>
      </c>
      <c r="B499" s="57" t="s">
        <v>271</v>
      </c>
      <c r="C499" s="37" t="s">
        <v>2187</v>
      </c>
      <c r="D499" s="38"/>
      <c r="E499" s="11"/>
      <c r="F499" s="12"/>
      <c r="G499" s="14"/>
      <c r="H499" s="28"/>
      <c r="I499" s="29"/>
    </row>
    <row r="500" spans="1:9" x14ac:dyDescent="0.2">
      <c r="A500" s="40" t="s">
        <v>272</v>
      </c>
      <c r="B500" s="63" t="s">
        <v>271</v>
      </c>
      <c r="C500" s="37" t="s">
        <v>2149</v>
      </c>
      <c r="D500" s="38">
        <v>1</v>
      </c>
      <c r="E500" s="15">
        <v>0</v>
      </c>
      <c r="F500" s="12">
        <v>0</v>
      </c>
      <c r="G500" s="14">
        <f>F500+E500</f>
        <v>0</v>
      </c>
      <c r="H500" s="28">
        <f>IF(ISBLANK(#REF!),"",D500*G500)</f>
        <v>0</v>
      </c>
      <c r="I500" s="29">
        <f>IF(ISBLANK(#REF!),"",E500*D500)</f>
        <v>0</v>
      </c>
    </row>
    <row r="501" spans="1:9" hidden="1" x14ac:dyDescent="0.2">
      <c r="A501" s="41" t="s">
        <v>274</v>
      </c>
      <c r="B501" s="57" t="s">
        <v>275</v>
      </c>
      <c r="C501" s="37" t="s">
        <v>2187</v>
      </c>
      <c r="D501" s="38"/>
      <c r="E501" s="11"/>
      <c r="F501" s="12"/>
      <c r="G501" s="14"/>
      <c r="H501" s="28"/>
      <c r="I501" s="29"/>
    </row>
    <row r="502" spans="1:9" x14ac:dyDescent="0.2">
      <c r="A502" s="40" t="s">
        <v>276</v>
      </c>
      <c r="B502" s="63" t="s">
        <v>277</v>
      </c>
      <c r="C502" s="37" t="s">
        <v>2149</v>
      </c>
      <c r="D502" s="38">
        <v>1</v>
      </c>
      <c r="E502" s="15">
        <v>0</v>
      </c>
      <c r="F502" s="12">
        <v>0</v>
      </c>
      <c r="G502" s="14">
        <f>F502+E502</f>
        <v>0</v>
      </c>
      <c r="H502" s="28">
        <f>IF(ISBLANK(#REF!),"",D502*G502)</f>
        <v>0</v>
      </c>
      <c r="I502" s="29">
        <f>IF(ISBLANK(#REF!),"",E502*D502)</f>
        <v>0</v>
      </c>
    </row>
    <row r="503" spans="1:9" x14ac:dyDescent="0.2">
      <c r="A503" s="40" t="s">
        <v>279</v>
      </c>
      <c r="B503" s="63" t="s">
        <v>691</v>
      </c>
      <c r="C503" s="44" t="s">
        <v>2149</v>
      </c>
      <c r="D503" s="38">
        <v>1</v>
      </c>
      <c r="E503" s="15">
        <v>0</v>
      </c>
      <c r="F503" s="12">
        <v>0</v>
      </c>
      <c r="G503" s="14">
        <f>F503+E503</f>
        <v>0</v>
      </c>
      <c r="H503" s="28">
        <f>IF(ISBLANK(#REF!),"",D503*G503)</f>
        <v>0</v>
      </c>
      <c r="I503" s="29">
        <f>IF(ISBLANK(#REF!),"",E503*D503)</f>
        <v>0</v>
      </c>
    </row>
    <row r="504" spans="1:9" ht="25.5" hidden="1" x14ac:dyDescent="0.2">
      <c r="A504" s="39" t="s">
        <v>285</v>
      </c>
      <c r="B504" s="57" t="s">
        <v>286</v>
      </c>
      <c r="C504" s="37" t="s">
        <v>2187</v>
      </c>
      <c r="D504" s="38"/>
      <c r="E504" s="11"/>
      <c r="F504" s="12"/>
      <c r="G504" s="14"/>
      <c r="H504" s="28"/>
      <c r="I504" s="29"/>
    </row>
    <row r="505" spans="1:9" ht="25.5" x14ac:dyDescent="0.2">
      <c r="A505" s="40" t="s">
        <v>287</v>
      </c>
      <c r="B505" s="63" t="s">
        <v>288</v>
      </c>
      <c r="C505" s="37" t="s">
        <v>2149</v>
      </c>
      <c r="D505" s="38">
        <v>1</v>
      </c>
      <c r="E505" s="15">
        <v>0</v>
      </c>
      <c r="F505" s="12">
        <v>0</v>
      </c>
      <c r="G505" s="14">
        <f>F505+E505</f>
        <v>0</v>
      </c>
      <c r="H505" s="28">
        <f>IF(ISBLANK(#REF!),"",D505*G505)</f>
        <v>0</v>
      </c>
      <c r="I505" s="29">
        <f>IF(ISBLANK(#REF!),"",E505*D505)</f>
        <v>0</v>
      </c>
    </row>
    <row r="506" spans="1:9" ht="25.5" x14ac:dyDescent="0.2">
      <c r="A506" s="40" t="s">
        <v>290</v>
      </c>
      <c r="B506" s="63" t="s">
        <v>291</v>
      </c>
      <c r="C506" s="37" t="s">
        <v>2149</v>
      </c>
      <c r="D506" s="38">
        <v>1</v>
      </c>
      <c r="E506" s="15">
        <v>0</v>
      </c>
      <c r="F506" s="12">
        <v>0</v>
      </c>
      <c r="G506" s="14">
        <f>F506+E506</f>
        <v>0</v>
      </c>
      <c r="H506" s="28">
        <f>IF(ISBLANK(#REF!),"",D506*G506)</f>
        <v>0</v>
      </c>
      <c r="I506" s="29">
        <f>IF(ISBLANK(#REF!),"",E506*D506)</f>
        <v>0</v>
      </c>
    </row>
    <row r="507" spans="1:9" ht="25.5" x14ac:dyDescent="0.2">
      <c r="A507" s="40" t="s">
        <v>293</v>
      </c>
      <c r="B507" s="63" t="s">
        <v>294</v>
      </c>
      <c r="C507" s="37" t="s">
        <v>2149</v>
      </c>
      <c r="D507" s="38">
        <v>1</v>
      </c>
      <c r="E507" s="15">
        <v>0</v>
      </c>
      <c r="F507" s="12">
        <v>0</v>
      </c>
      <c r="G507" s="14">
        <f>F507+E507</f>
        <v>0</v>
      </c>
      <c r="H507" s="28">
        <f>IF(ISBLANK(#REF!),"",D507*G507)</f>
        <v>0</v>
      </c>
      <c r="I507" s="29">
        <f>IF(ISBLANK(#REF!),"",E507*D507)</f>
        <v>0</v>
      </c>
    </row>
    <row r="508" spans="1:9" x14ac:dyDescent="0.2">
      <c r="A508" s="40" t="s">
        <v>296</v>
      </c>
      <c r="B508" s="63" t="s">
        <v>297</v>
      </c>
      <c r="C508" s="37" t="s">
        <v>2149</v>
      </c>
      <c r="D508" s="38">
        <v>1</v>
      </c>
      <c r="E508" s="15">
        <v>0</v>
      </c>
      <c r="F508" s="12">
        <v>0</v>
      </c>
      <c r="G508" s="14">
        <f>F508+E508</f>
        <v>0</v>
      </c>
      <c r="H508" s="28">
        <f>IF(ISBLANK(#REF!),"",D508*G508)</f>
        <v>0</v>
      </c>
      <c r="I508" s="29">
        <f>IF(ISBLANK(#REF!),"",E508*D508)</f>
        <v>0</v>
      </c>
    </row>
    <row r="509" spans="1:9" hidden="1" x14ac:dyDescent="0.2">
      <c r="A509" s="39" t="s">
        <v>299</v>
      </c>
      <c r="B509" s="57" t="s">
        <v>300</v>
      </c>
      <c r="C509" s="37" t="s">
        <v>2187</v>
      </c>
      <c r="D509" s="38"/>
      <c r="E509" s="11"/>
      <c r="F509" s="12"/>
      <c r="G509" s="14"/>
      <c r="H509" s="28"/>
      <c r="I509" s="29"/>
    </row>
    <row r="510" spans="1:9" hidden="1" x14ac:dyDescent="0.2">
      <c r="A510" s="41" t="s">
        <v>301</v>
      </c>
      <c r="B510" s="57" t="s">
        <v>129</v>
      </c>
      <c r="C510" s="37" t="s">
        <v>2187</v>
      </c>
      <c r="D510" s="38"/>
      <c r="E510" s="11"/>
      <c r="F510" s="12"/>
      <c r="G510" s="14"/>
      <c r="H510" s="28"/>
      <c r="I510" s="29"/>
    </row>
    <row r="511" spans="1:9" x14ac:dyDescent="0.2">
      <c r="A511" s="40" t="s">
        <v>133</v>
      </c>
      <c r="B511" s="63" t="s">
        <v>134</v>
      </c>
      <c r="C511" s="37" t="s">
        <v>2108</v>
      </c>
      <c r="D511" s="38">
        <v>1</v>
      </c>
      <c r="E511" s="15">
        <v>0</v>
      </c>
      <c r="F511" s="12">
        <v>0</v>
      </c>
      <c r="G511" s="14">
        <f t="shared" ref="G511:G518" si="13">F511+E511</f>
        <v>0</v>
      </c>
      <c r="H511" s="28">
        <f>IF(ISBLANK(#REF!),"",D511*G511)</f>
        <v>0</v>
      </c>
      <c r="I511" s="29">
        <f>IF(ISBLANK(#REF!),"",E511*D511)</f>
        <v>0</v>
      </c>
    </row>
    <row r="512" spans="1:9" x14ac:dyDescent="0.2">
      <c r="A512" s="40" t="s">
        <v>136</v>
      </c>
      <c r="B512" s="63" t="s">
        <v>137</v>
      </c>
      <c r="C512" s="37" t="s">
        <v>2108</v>
      </c>
      <c r="D512" s="38">
        <v>1</v>
      </c>
      <c r="E512" s="15">
        <v>0</v>
      </c>
      <c r="F512" s="12">
        <v>0</v>
      </c>
      <c r="G512" s="14">
        <f t="shared" si="13"/>
        <v>0</v>
      </c>
      <c r="H512" s="28">
        <f>IF(ISBLANK(#REF!),"",D512*G512)</f>
        <v>0</v>
      </c>
      <c r="I512" s="29">
        <f>IF(ISBLANK(#REF!),"",E512*D512)</f>
        <v>0</v>
      </c>
    </row>
    <row r="513" spans="1:9" x14ac:dyDescent="0.2">
      <c r="A513" s="40" t="s">
        <v>139</v>
      </c>
      <c r="B513" s="63" t="s">
        <v>140</v>
      </c>
      <c r="C513" s="37" t="s">
        <v>2108</v>
      </c>
      <c r="D513" s="38">
        <v>1</v>
      </c>
      <c r="E513" s="15">
        <v>0</v>
      </c>
      <c r="F513" s="12">
        <v>0</v>
      </c>
      <c r="G513" s="14">
        <f t="shared" si="13"/>
        <v>0</v>
      </c>
      <c r="H513" s="28">
        <f>IF(ISBLANK(#REF!),"",D513*G513)</f>
        <v>0</v>
      </c>
      <c r="I513" s="29">
        <f>IF(ISBLANK(#REF!),"",E513*D513)</f>
        <v>0</v>
      </c>
    </row>
    <row r="514" spans="1:9" x14ac:dyDescent="0.2">
      <c r="A514" s="40" t="s">
        <v>142</v>
      </c>
      <c r="B514" s="63" t="s">
        <v>143</v>
      </c>
      <c r="C514" s="37" t="s">
        <v>2108</v>
      </c>
      <c r="D514" s="38">
        <v>1</v>
      </c>
      <c r="E514" s="15">
        <v>0</v>
      </c>
      <c r="F514" s="12">
        <v>0</v>
      </c>
      <c r="G514" s="14">
        <f t="shared" si="13"/>
        <v>0</v>
      </c>
      <c r="H514" s="28">
        <f>IF(ISBLANK(#REF!),"",D514*G514)</f>
        <v>0</v>
      </c>
      <c r="I514" s="29">
        <f>IF(ISBLANK(#REF!),"",E514*D514)</f>
        <v>0</v>
      </c>
    </row>
    <row r="515" spans="1:9" x14ac:dyDescent="0.2">
      <c r="A515" s="40" t="s">
        <v>28</v>
      </c>
      <c r="B515" s="63" t="s">
        <v>29</v>
      </c>
      <c r="C515" s="37" t="s">
        <v>2108</v>
      </c>
      <c r="D515" s="38">
        <v>1</v>
      </c>
      <c r="E515" s="15">
        <v>0</v>
      </c>
      <c r="F515" s="12">
        <v>0</v>
      </c>
      <c r="G515" s="14">
        <f t="shared" si="13"/>
        <v>0</v>
      </c>
      <c r="H515" s="28">
        <f>IF(ISBLANK(#REF!),"",D515*G515)</f>
        <v>0</v>
      </c>
      <c r="I515" s="29">
        <f>IF(ISBLANK(#REF!),"",E515*D515)</f>
        <v>0</v>
      </c>
    </row>
    <row r="516" spans="1:9" x14ac:dyDescent="0.2">
      <c r="A516" s="40" t="s">
        <v>810</v>
      </c>
      <c r="B516" s="63" t="s">
        <v>811</v>
      </c>
      <c r="C516" s="37" t="s">
        <v>2108</v>
      </c>
      <c r="D516" s="38">
        <v>1</v>
      </c>
      <c r="E516" s="15">
        <v>0</v>
      </c>
      <c r="F516" s="12">
        <v>0</v>
      </c>
      <c r="G516" s="14">
        <f t="shared" si="13"/>
        <v>0</v>
      </c>
      <c r="H516" s="28">
        <f>IF(ISBLANK(#REF!),"",D516*G516)</f>
        <v>0</v>
      </c>
      <c r="I516" s="29">
        <f>IF(ISBLANK(#REF!),"",E516*D516)</f>
        <v>0</v>
      </c>
    </row>
    <row r="517" spans="1:9" x14ac:dyDescent="0.2">
      <c r="A517" s="40" t="s">
        <v>813</v>
      </c>
      <c r="B517" s="63" t="s">
        <v>814</v>
      </c>
      <c r="C517" s="37" t="s">
        <v>2149</v>
      </c>
      <c r="D517" s="38">
        <v>1</v>
      </c>
      <c r="E517" s="15">
        <v>0</v>
      </c>
      <c r="F517" s="12">
        <v>0</v>
      </c>
      <c r="G517" s="14">
        <f t="shared" si="13"/>
        <v>0</v>
      </c>
      <c r="H517" s="28">
        <f>IF(ISBLANK(#REF!),"",D517*G517)</f>
        <v>0</v>
      </c>
      <c r="I517" s="29">
        <f>IF(ISBLANK(#REF!),"",E517*D517)</f>
        <v>0</v>
      </c>
    </row>
    <row r="518" spans="1:9" x14ac:dyDescent="0.2">
      <c r="A518" s="40" t="s">
        <v>816</v>
      </c>
      <c r="B518" s="63" t="s">
        <v>817</v>
      </c>
      <c r="C518" s="37" t="s">
        <v>2149</v>
      </c>
      <c r="D518" s="38">
        <v>1</v>
      </c>
      <c r="E518" s="15">
        <v>0</v>
      </c>
      <c r="F518" s="12">
        <v>0</v>
      </c>
      <c r="G518" s="14">
        <f t="shared" si="13"/>
        <v>0</v>
      </c>
      <c r="H518" s="28">
        <f>IF(ISBLANK(#REF!),"",D518*G518)</f>
        <v>0</v>
      </c>
      <c r="I518" s="29">
        <f>IF(ISBLANK(#REF!),"",E518*D518)</f>
        <v>0</v>
      </c>
    </row>
    <row r="519" spans="1:9" hidden="1" x14ac:dyDescent="0.2">
      <c r="A519" s="41" t="s">
        <v>822</v>
      </c>
      <c r="B519" s="57" t="s">
        <v>399</v>
      </c>
      <c r="C519" s="37" t="s">
        <v>2187</v>
      </c>
      <c r="D519" s="38"/>
      <c r="E519" s="11"/>
      <c r="F519" s="12"/>
      <c r="G519" s="14"/>
      <c r="H519" s="28"/>
      <c r="I519" s="29"/>
    </row>
    <row r="520" spans="1:9" ht="25.5" x14ac:dyDescent="0.2">
      <c r="A520" s="40" t="s">
        <v>400</v>
      </c>
      <c r="B520" s="63" t="s">
        <v>401</v>
      </c>
      <c r="C520" s="37" t="s">
        <v>2149</v>
      </c>
      <c r="D520" s="38">
        <v>1</v>
      </c>
      <c r="E520" s="15">
        <v>0</v>
      </c>
      <c r="F520" s="12">
        <v>0</v>
      </c>
      <c r="G520" s="14">
        <f t="shared" ref="G520:G527" si="14">F520+E520</f>
        <v>0</v>
      </c>
      <c r="H520" s="28">
        <f>IF(ISBLANK(#REF!),"",D520*G520)</f>
        <v>0</v>
      </c>
      <c r="I520" s="29">
        <f>IF(ISBLANK(#REF!),"",E520*D520)</f>
        <v>0</v>
      </c>
    </row>
    <row r="521" spans="1:9" x14ac:dyDescent="0.2">
      <c r="A521" s="40" t="s">
        <v>403</v>
      </c>
      <c r="B521" s="63" t="s">
        <v>404</v>
      </c>
      <c r="C521" s="37" t="s">
        <v>2149</v>
      </c>
      <c r="D521" s="38">
        <v>1</v>
      </c>
      <c r="E521" s="15">
        <v>0</v>
      </c>
      <c r="F521" s="12">
        <v>0</v>
      </c>
      <c r="G521" s="14">
        <f t="shared" si="14"/>
        <v>0</v>
      </c>
      <c r="H521" s="28">
        <f>IF(ISBLANK(#REF!),"",D521*G521)</f>
        <v>0</v>
      </c>
      <c r="I521" s="29">
        <f>IF(ISBLANK(#REF!),"",E521*D521)</f>
        <v>0</v>
      </c>
    </row>
    <row r="522" spans="1:9" x14ac:dyDescent="0.2">
      <c r="A522" s="40" t="s">
        <v>406</v>
      </c>
      <c r="B522" s="63" t="s">
        <v>407</v>
      </c>
      <c r="C522" s="37" t="s">
        <v>2108</v>
      </c>
      <c r="D522" s="38">
        <v>1</v>
      </c>
      <c r="E522" s="15">
        <v>0</v>
      </c>
      <c r="F522" s="12">
        <v>0</v>
      </c>
      <c r="G522" s="14">
        <f t="shared" si="14"/>
        <v>0</v>
      </c>
      <c r="H522" s="28">
        <f>IF(ISBLANK(#REF!),"",D522*G522)</f>
        <v>0</v>
      </c>
      <c r="I522" s="29">
        <f>IF(ISBLANK(#REF!),"",E522*D522)</f>
        <v>0</v>
      </c>
    </row>
    <row r="523" spans="1:9" x14ac:dyDescent="0.2">
      <c r="A523" s="40" t="s">
        <v>409</v>
      </c>
      <c r="B523" s="63" t="s">
        <v>410</v>
      </c>
      <c r="C523" s="37" t="s">
        <v>2204</v>
      </c>
      <c r="D523" s="38">
        <v>1</v>
      </c>
      <c r="E523" s="15">
        <v>0</v>
      </c>
      <c r="F523" s="12">
        <v>0</v>
      </c>
      <c r="G523" s="14">
        <f t="shared" si="14"/>
        <v>0</v>
      </c>
      <c r="H523" s="28">
        <f>IF(ISBLANK(#REF!),"",D523*G523)</f>
        <v>0</v>
      </c>
      <c r="I523" s="29">
        <f>IF(ISBLANK(#REF!),"",E523*D523)</f>
        <v>0</v>
      </c>
    </row>
    <row r="524" spans="1:9" x14ac:dyDescent="0.2">
      <c r="A524" s="40" t="s">
        <v>232</v>
      </c>
      <c r="B524" s="63" t="s">
        <v>233</v>
      </c>
      <c r="C524" s="37" t="s">
        <v>2149</v>
      </c>
      <c r="D524" s="38">
        <v>1</v>
      </c>
      <c r="E524" s="15">
        <v>0</v>
      </c>
      <c r="F524" s="12">
        <v>0</v>
      </c>
      <c r="G524" s="14">
        <f t="shared" si="14"/>
        <v>0</v>
      </c>
      <c r="H524" s="28">
        <f>IF(ISBLANK(#REF!),"",D524*G524)</f>
        <v>0</v>
      </c>
      <c r="I524" s="29">
        <f>IF(ISBLANK(#REF!),"",E524*D524)</f>
        <v>0</v>
      </c>
    </row>
    <row r="525" spans="1:9" x14ac:dyDescent="0.2">
      <c r="A525" s="40" t="s">
        <v>235</v>
      </c>
      <c r="B525" s="63" t="s">
        <v>236</v>
      </c>
      <c r="C525" s="37" t="s">
        <v>2149</v>
      </c>
      <c r="D525" s="38">
        <v>1</v>
      </c>
      <c r="E525" s="15">
        <v>0</v>
      </c>
      <c r="F525" s="12">
        <v>0</v>
      </c>
      <c r="G525" s="14">
        <f t="shared" si="14"/>
        <v>0</v>
      </c>
      <c r="H525" s="28">
        <f>IF(ISBLANK(#REF!),"",D525*G525)</f>
        <v>0</v>
      </c>
      <c r="I525" s="29">
        <f>IF(ISBLANK(#REF!),"",E525*D525)</f>
        <v>0</v>
      </c>
    </row>
    <row r="526" spans="1:9" x14ac:dyDescent="0.2">
      <c r="A526" s="40" t="s">
        <v>238</v>
      </c>
      <c r="B526" s="63" t="s">
        <v>239</v>
      </c>
      <c r="C526" s="37" t="s">
        <v>2108</v>
      </c>
      <c r="D526" s="38">
        <v>1</v>
      </c>
      <c r="E526" s="15">
        <v>0</v>
      </c>
      <c r="F526" s="12">
        <v>0</v>
      </c>
      <c r="G526" s="14">
        <f t="shared" si="14"/>
        <v>0</v>
      </c>
      <c r="H526" s="28">
        <f>IF(ISBLANK(#REF!),"",D526*G526)</f>
        <v>0</v>
      </c>
      <c r="I526" s="29">
        <f>IF(ISBLANK(#REF!),"",E526*D526)</f>
        <v>0</v>
      </c>
    </row>
    <row r="527" spans="1:9" ht="25.5" x14ac:dyDescent="0.2">
      <c r="A527" s="42" t="s">
        <v>494</v>
      </c>
      <c r="B527" s="63" t="s">
        <v>495</v>
      </c>
      <c r="C527" s="37" t="s">
        <v>2108</v>
      </c>
      <c r="D527" s="38">
        <v>1</v>
      </c>
      <c r="E527" s="15">
        <v>0</v>
      </c>
      <c r="F527" s="12">
        <v>0</v>
      </c>
      <c r="G527" s="14">
        <f t="shared" si="14"/>
        <v>0</v>
      </c>
      <c r="H527" s="28">
        <f>IF(ISBLANK(#REF!),"",D527*G527)</f>
        <v>0</v>
      </c>
      <c r="I527" s="29">
        <f>IF(ISBLANK(#REF!),"",E527*D527)</f>
        <v>0</v>
      </c>
    </row>
    <row r="528" spans="1:9" hidden="1" x14ac:dyDescent="0.2">
      <c r="A528" s="41" t="s">
        <v>497</v>
      </c>
      <c r="B528" s="57" t="s">
        <v>498</v>
      </c>
      <c r="C528" s="37" t="s">
        <v>2187</v>
      </c>
      <c r="D528" s="38"/>
      <c r="E528" s="11"/>
      <c r="F528" s="12"/>
      <c r="G528" s="14"/>
      <c r="H528" s="28"/>
      <c r="I528" s="29"/>
    </row>
    <row r="529" spans="1:9" x14ac:dyDescent="0.2">
      <c r="A529" s="40" t="s">
        <v>499</v>
      </c>
      <c r="B529" s="63" t="s">
        <v>500</v>
      </c>
      <c r="C529" s="44" t="s">
        <v>2149</v>
      </c>
      <c r="D529" s="38">
        <v>1</v>
      </c>
      <c r="E529" s="15">
        <v>0</v>
      </c>
      <c r="F529" s="12">
        <v>0</v>
      </c>
      <c r="G529" s="14">
        <f>F529+E529</f>
        <v>0</v>
      </c>
      <c r="H529" s="28">
        <f>IF(ISBLANK(#REF!),"",D529*G529)</f>
        <v>0</v>
      </c>
      <c r="I529" s="29">
        <f>IF(ISBLANK(#REF!),"",E529*D529)</f>
        <v>0</v>
      </c>
    </row>
    <row r="530" spans="1:9" ht="25.5" hidden="1" x14ac:dyDescent="0.2">
      <c r="A530" s="41" t="s">
        <v>502</v>
      </c>
      <c r="B530" s="57" t="s">
        <v>503</v>
      </c>
      <c r="C530" s="37" t="s">
        <v>2187</v>
      </c>
      <c r="D530" s="38"/>
      <c r="E530" s="11"/>
      <c r="F530" s="12"/>
      <c r="G530" s="14"/>
      <c r="H530" s="28"/>
      <c r="I530" s="29"/>
    </row>
    <row r="531" spans="1:9" ht="25.5" x14ac:dyDescent="0.2">
      <c r="A531" s="40" t="s">
        <v>504</v>
      </c>
      <c r="B531" s="63" t="s">
        <v>505</v>
      </c>
      <c r="C531" s="37" t="s">
        <v>2149</v>
      </c>
      <c r="D531" s="38">
        <v>1</v>
      </c>
      <c r="E531" s="15">
        <v>0</v>
      </c>
      <c r="F531" s="12">
        <v>0</v>
      </c>
      <c r="G531" s="14">
        <f>F531+E531</f>
        <v>0</v>
      </c>
      <c r="H531" s="28">
        <f>IF(ISBLANK(#REF!),"",D531*G531)</f>
        <v>0</v>
      </c>
      <c r="I531" s="29">
        <f>IF(ISBLANK(#REF!),"",E531*D531)</f>
        <v>0</v>
      </c>
    </row>
    <row r="532" spans="1:9" x14ac:dyDescent="0.2">
      <c r="A532" s="40" t="s">
        <v>516</v>
      </c>
      <c r="B532" s="63" t="s">
        <v>517</v>
      </c>
      <c r="C532" s="37" t="s">
        <v>2149</v>
      </c>
      <c r="D532" s="38">
        <v>1</v>
      </c>
      <c r="E532" s="15">
        <v>0</v>
      </c>
      <c r="F532" s="12">
        <v>0</v>
      </c>
      <c r="G532" s="14">
        <f>F532+E532</f>
        <v>0</v>
      </c>
      <c r="H532" s="28">
        <f>IF(ISBLANK(#REF!),"",D532*G532)</f>
        <v>0</v>
      </c>
      <c r="I532" s="29">
        <f>IF(ISBLANK(#REF!),"",E532*D532)</f>
        <v>0</v>
      </c>
    </row>
    <row r="533" spans="1:9" hidden="1" x14ac:dyDescent="0.2">
      <c r="A533" s="41" t="s">
        <v>519</v>
      </c>
      <c r="B533" s="57" t="s">
        <v>520</v>
      </c>
      <c r="C533" s="37" t="s">
        <v>2187</v>
      </c>
      <c r="D533" s="38"/>
      <c r="E533" s="11"/>
      <c r="F533" s="12"/>
      <c r="G533" s="14"/>
      <c r="H533" s="28"/>
      <c r="I533" s="29"/>
    </row>
    <row r="534" spans="1:9" x14ac:dyDescent="0.2">
      <c r="A534" s="40" t="s">
        <v>521</v>
      </c>
      <c r="B534" s="63" t="s">
        <v>12</v>
      </c>
      <c r="C534" s="37" t="s">
        <v>2149</v>
      </c>
      <c r="D534" s="38">
        <v>1</v>
      </c>
      <c r="E534" s="15">
        <v>0</v>
      </c>
      <c r="F534" s="12">
        <v>0</v>
      </c>
      <c r="G534" s="14">
        <f>F534+E534</f>
        <v>0</v>
      </c>
      <c r="H534" s="28">
        <f>IF(ISBLANK(#REF!),"",D534*G534)</f>
        <v>0</v>
      </c>
      <c r="I534" s="29">
        <f>IF(ISBLANK(#REF!),"",E534*D534)</f>
        <v>0</v>
      </c>
    </row>
    <row r="535" spans="1:9" x14ac:dyDescent="0.2">
      <c r="A535" s="40" t="s">
        <v>14</v>
      </c>
      <c r="B535" s="63" t="s">
        <v>15</v>
      </c>
      <c r="C535" s="37" t="s">
        <v>2149</v>
      </c>
      <c r="D535" s="38">
        <v>1</v>
      </c>
      <c r="E535" s="15">
        <v>0</v>
      </c>
      <c r="F535" s="12">
        <v>0</v>
      </c>
      <c r="G535" s="14">
        <f>F535+E535</f>
        <v>0</v>
      </c>
      <c r="H535" s="28">
        <f>IF(ISBLANK(#REF!),"",D535*G535)</f>
        <v>0</v>
      </c>
      <c r="I535" s="29">
        <f>IF(ISBLANK(#REF!),"",E535*D535)</f>
        <v>0</v>
      </c>
    </row>
    <row r="536" spans="1:9" hidden="1" x14ac:dyDescent="0.2">
      <c r="A536" s="41" t="s">
        <v>17</v>
      </c>
      <c r="B536" s="57" t="s">
        <v>18</v>
      </c>
      <c r="C536" s="37" t="s">
        <v>2187</v>
      </c>
      <c r="D536" s="38"/>
      <c r="E536" s="11"/>
      <c r="F536" s="12"/>
      <c r="G536" s="14"/>
      <c r="H536" s="28"/>
      <c r="I536" s="29"/>
    </row>
    <row r="537" spans="1:9" x14ac:dyDescent="0.2">
      <c r="A537" s="40" t="s">
        <v>19</v>
      </c>
      <c r="B537" s="63" t="s">
        <v>20</v>
      </c>
      <c r="C537" s="37" t="s">
        <v>2149</v>
      </c>
      <c r="D537" s="38">
        <v>1</v>
      </c>
      <c r="E537" s="15">
        <v>0</v>
      </c>
      <c r="F537" s="12">
        <v>0</v>
      </c>
      <c r="G537" s="14">
        <f>F537+E537</f>
        <v>0</v>
      </c>
      <c r="H537" s="28">
        <f>IF(ISBLANK(#REF!),"",D537*G537)</f>
        <v>0</v>
      </c>
      <c r="I537" s="29">
        <f>IF(ISBLANK(#REF!),"",E537*D537)</f>
        <v>0</v>
      </c>
    </row>
    <row r="538" spans="1:9" x14ac:dyDescent="0.2">
      <c r="A538" s="40" t="s">
        <v>22</v>
      </c>
      <c r="B538" s="63" t="s">
        <v>23</v>
      </c>
      <c r="C538" s="37" t="s">
        <v>2149</v>
      </c>
      <c r="D538" s="38">
        <v>1</v>
      </c>
      <c r="E538" s="15">
        <v>0</v>
      </c>
      <c r="F538" s="12">
        <v>0</v>
      </c>
      <c r="G538" s="14">
        <f>F538+E538</f>
        <v>0</v>
      </c>
      <c r="H538" s="28">
        <f>IF(ISBLANK(#REF!),"",D538*G538)</f>
        <v>0</v>
      </c>
      <c r="I538" s="29">
        <f>IF(ISBLANK(#REF!),"",E538*D538)</f>
        <v>0</v>
      </c>
    </row>
    <row r="539" spans="1:9" x14ac:dyDescent="0.2">
      <c r="A539" s="40" t="s">
        <v>595</v>
      </c>
      <c r="B539" s="63" t="s">
        <v>596</v>
      </c>
      <c r="C539" s="37" t="s">
        <v>2108</v>
      </c>
      <c r="D539" s="38">
        <v>1</v>
      </c>
      <c r="E539" s="15">
        <v>0</v>
      </c>
      <c r="F539" s="12">
        <v>0</v>
      </c>
      <c r="G539" s="14">
        <f>F539+E539</f>
        <v>0</v>
      </c>
      <c r="H539" s="28">
        <f>IF(ISBLANK(#REF!),"",D539*G539)</f>
        <v>0</v>
      </c>
      <c r="I539" s="29">
        <f>IF(ISBLANK(#REF!),"",E539*D539)</f>
        <v>0</v>
      </c>
    </row>
    <row r="540" spans="1:9" x14ac:dyDescent="0.2">
      <c r="A540" s="40" t="s">
        <v>598</v>
      </c>
      <c r="B540" s="63" t="s">
        <v>599</v>
      </c>
      <c r="C540" s="37" t="s">
        <v>2108</v>
      </c>
      <c r="D540" s="38">
        <v>1</v>
      </c>
      <c r="E540" s="15">
        <v>0</v>
      </c>
      <c r="F540" s="12">
        <v>0</v>
      </c>
      <c r="G540" s="14">
        <f>F540+E540</f>
        <v>0</v>
      </c>
      <c r="H540" s="28">
        <f>IF(ISBLANK(#REF!),"",D540*G540)</f>
        <v>0</v>
      </c>
      <c r="I540" s="29">
        <f>IF(ISBLANK(#REF!),"",E540*D540)</f>
        <v>0</v>
      </c>
    </row>
    <row r="541" spans="1:9" hidden="1" x14ac:dyDescent="0.2">
      <c r="A541" s="39" t="s">
        <v>44</v>
      </c>
      <c r="B541" s="57" t="s">
        <v>45</v>
      </c>
      <c r="C541" s="37" t="s">
        <v>2187</v>
      </c>
      <c r="D541" s="38"/>
      <c r="E541" s="11"/>
      <c r="F541" s="12"/>
      <c r="G541" s="14"/>
      <c r="H541" s="28"/>
      <c r="I541" s="29"/>
    </row>
    <row r="542" spans="1:9" ht="13.5" thickBot="1" x14ac:dyDescent="0.25">
      <c r="A542" s="46" t="s">
        <v>46</v>
      </c>
      <c r="B542" s="65" t="s">
        <v>47</v>
      </c>
      <c r="C542" s="47" t="s">
        <v>2149</v>
      </c>
      <c r="D542" s="48">
        <v>1</v>
      </c>
      <c r="E542" s="25">
        <v>0</v>
      </c>
      <c r="F542" s="26">
        <v>0</v>
      </c>
      <c r="G542" s="27">
        <f>F542+E542</f>
        <v>0</v>
      </c>
      <c r="H542" s="33">
        <f>IF(ISBLANK(#REF!),"",D542*G542)</f>
        <v>0</v>
      </c>
      <c r="I542" s="34">
        <f>IF(ISBLANK(#REF!),"",E542*D542)</f>
        <v>0</v>
      </c>
    </row>
  </sheetData>
  <autoFilter ref="A1:I542">
    <filterColumn colId="7">
      <customFilters and="1">
        <customFilter operator="notEqual" val=" "/>
      </customFilters>
    </filterColumn>
  </autoFilter>
  <phoneticPr fontId="2" type="noConversion"/>
  <pageMargins left="0.39370078740157483" right="0.39370078740157483" top="0.59055118110236227" bottom="0.59055118110236227" header="0.51181102362204722" footer="0.51181102362204722"/>
  <pageSetup paperSize="8"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Article long</vt:lpstr>
      <vt:lpstr>DEVIS 2010</vt:lpstr>
      <vt:lpstr>'DEVIS 2010'!Impression_des_titres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dc:creator>
  <cp:lastModifiedBy>Emmanuel</cp:lastModifiedBy>
  <cp:lastPrinted>2010-10-20T13:43:28Z</cp:lastPrinted>
  <dcterms:created xsi:type="dcterms:W3CDTF">2008-11-26T16:01:38Z</dcterms:created>
  <dcterms:modified xsi:type="dcterms:W3CDTF">2026-02-04T15:30:59Z</dcterms:modified>
</cp:coreProperties>
</file>